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gutierrez/Desktop/PRIMERA COMISION SIS/"/>
    </mc:Choice>
  </mc:AlternateContent>
  <xr:revisionPtr revIDLastSave="0" documentId="13_ncr:1_{84C34E1F-5981-3C41-96C5-7C56635E5D65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Caja Menor " sheetId="45" r:id="rId1"/>
    <sheet name="Listado" sheetId="46" r:id="rId2"/>
  </sheets>
  <definedNames>
    <definedName name="_xlnm.Print_Area" localSheetId="0">'Caja Menor '!$A$1:$K$79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45" l="1"/>
  <c r="D13" i="45" s="1"/>
  <c r="D14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Director Financiero</author>
  </authors>
  <commentList>
    <comment ref="D13" authorId="0" shapeId="0" xr:uid="{B7503F27-31D3-4C76-9804-44F627CFECED}">
      <text>
        <r>
          <rPr>
            <b/>
            <sz val="9"/>
            <color rgb="FF000000"/>
            <rFont val="Tahoma"/>
            <family val="2"/>
          </rPr>
          <t>Director Financiero: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No Modificar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4" authorId="0" shapeId="0" xr:uid="{040E02EB-63FF-412D-95CE-C498894A895A}">
      <text>
        <r>
          <rPr>
            <b/>
            <sz val="9"/>
            <color indexed="81"/>
            <rFont val="Tahoma"/>
            <family val="2"/>
          </rPr>
          <t>Director Financiero:</t>
        </r>
        <r>
          <rPr>
            <sz val="9"/>
            <color indexed="81"/>
            <rFont val="Tahoma"/>
            <family val="2"/>
          </rPr>
          <t xml:space="preserve">
No modificar</t>
        </r>
      </text>
    </comment>
  </commentList>
</comments>
</file>

<file path=xl/sharedStrings.xml><?xml version="1.0" encoding="utf-8"?>
<sst xmlns="http://schemas.openxmlformats.org/spreadsheetml/2006/main" count="185" uniqueCount="90">
  <si>
    <t>CAJA MENOR</t>
  </si>
  <si>
    <t>Paginas: 01</t>
  </si>
  <si>
    <t>LUGAR Y FECHA</t>
  </si>
  <si>
    <t>AREA:</t>
  </si>
  <si>
    <t>PERIODO</t>
  </si>
  <si>
    <t>CARGO:</t>
  </si>
  <si>
    <t>TARJETA PEOPLE PASS:</t>
  </si>
  <si>
    <t>Saldo Inicial:</t>
  </si>
  <si>
    <t>Saldo Final:</t>
  </si>
  <si>
    <t xml:space="preserve">FECHA </t>
  </si>
  <si>
    <t>CIUDAD DEL GASTO</t>
  </si>
  <si>
    <t>DOCUMENTO SOPORTE</t>
  </si>
  <si>
    <t>NOMBRE TERCERO</t>
  </si>
  <si>
    <t>TIPO ID</t>
  </si>
  <si>
    <t>NUMERO ID</t>
  </si>
  <si>
    <t xml:space="preserve">CONCEPTO </t>
  </si>
  <si>
    <t>TOTAL</t>
  </si>
  <si>
    <t>Recibo de Caja</t>
  </si>
  <si>
    <t>Cedula de Ciudadania</t>
  </si>
  <si>
    <t>Alimentos (Comidas/Bebidas)</t>
  </si>
  <si>
    <t>INSTRUCCIONES</t>
  </si>
  <si>
    <t>FIRMA</t>
  </si>
  <si>
    <t>1) Las sumas fijadas para viáticos diarios incluyen alojamiento, comida, representaciones, propinas.</t>
  </si>
  <si>
    <t>2) Las cuentas de viáticos deberán ser presentadas dentro de los días (10) siguientes a la terminación del viaje. Cuando el viaje se prolongue, deberá presentarse cuentas parciales el último día de cada mes.</t>
  </si>
  <si>
    <t>Vo.Bo.</t>
  </si>
  <si>
    <t>3) La contabilidad solo ordenará el pago de esta cuenta cuando la haya recibido debidamente aprobada en su totalidad.</t>
  </si>
  <si>
    <t>4) Para el trámite de la presente cuenta se debe anexar los documentos soportes de los gastos varios, tiquetes y pasabordos utilizados y fotocopia de la primera hoja de informe de actividades.</t>
  </si>
  <si>
    <t>APROBADA</t>
  </si>
  <si>
    <t>CARGUESE</t>
  </si>
  <si>
    <t>OBSERVACIONES:</t>
  </si>
  <si>
    <t xml:space="preserve">AERONAVE: </t>
  </si>
  <si>
    <t>NOMBRE RESPONSABLE:</t>
  </si>
  <si>
    <t>Factura</t>
  </si>
  <si>
    <t>Cuenta de Cobro</t>
  </si>
  <si>
    <t>NIT/RUT</t>
  </si>
  <si>
    <t>Cedula de Extranjeria</t>
  </si>
  <si>
    <t>Repuestos</t>
  </si>
  <si>
    <t>Aseo</t>
  </si>
  <si>
    <t>Papelería</t>
  </si>
  <si>
    <t>Transporte</t>
  </si>
  <si>
    <t>Otros</t>
  </si>
  <si>
    <t>2do Deposito</t>
  </si>
  <si>
    <t>Gastos Caja Menor</t>
  </si>
  <si>
    <t>SCOF01</t>
  </si>
  <si>
    <t>VERSIÓN No:002</t>
  </si>
  <si>
    <t>FECHA: 2025-06-19</t>
  </si>
  <si>
    <t>Caja Menor</t>
  </si>
  <si>
    <t>CM-SIS-01</t>
  </si>
  <si>
    <t>10415966***3202</t>
  </si>
  <si>
    <t>CRISTIAN CAMILO CARDENAS DIAZ</t>
  </si>
  <si>
    <t>CM-SIS-02</t>
  </si>
  <si>
    <t>ANDRES CORREA GIRALDO</t>
  </si>
  <si>
    <t>CM-SIS-03</t>
  </si>
  <si>
    <t>EDWARD ENRIQUE RUBIO RUBIO</t>
  </si>
  <si>
    <t>CM-SIS-04</t>
  </si>
  <si>
    <t>10415969***0797</t>
  </si>
  <si>
    <t>MAURICIO BUENO PLAZA</t>
  </si>
  <si>
    <t>CM-SIS-05</t>
  </si>
  <si>
    <t>LUIS FELIPE GOMEZ RAMIREZ</t>
  </si>
  <si>
    <t>CM-SIS-06</t>
  </si>
  <si>
    <t>JHON JAIRO OLAYA CORDOBA</t>
  </si>
  <si>
    <t>CM-SIS-07</t>
  </si>
  <si>
    <t>10415968***4514</t>
  </si>
  <si>
    <t>10415970***6008</t>
  </si>
  <si>
    <t>10415967***7188</t>
  </si>
  <si>
    <t>10415971***7309</t>
  </si>
  <si>
    <t xml:space="preserve">OPERACIONES </t>
  </si>
  <si>
    <t>COPILOTO</t>
  </si>
  <si>
    <t>CUCUTA</t>
  </si>
  <si>
    <t xml:space="preserve">FABIO BOADA SIERRA </t>
  </si>
  <si>
    <t>CENCOSUD</t>
  </si>
  <si>
    <t xml:space="preserve">UNIDROGAS SAS </t>
  </si>
  <si>
    <t>JORGE PARRA</t>
  </si>
  <si>
    <t>HK4900</t>
  </si>
  <si>
    <t>CUCUTA 22 DE JUNIO DE 2026</t>
  </si>
  <si>
    <t>17 DE JUNIO AL 22 DE JUNIO</t>
  </si>
  <si>
    <t xml:space="preserve">ALEJANDRO OCHOA </t>
  </si>
  <si>
    <t xml:space="preserve">FRAN LOPERA </t>
  </si>
  <si>
    <t>MANUEL RUBIO</t>
  </si>
  <si>
    <t xml:space="preserve">CAMILO NOVA </t>
  </si>
  <si>
    <t xml:space="preserve">LUIS GARCIA </t>
  </si>
  <si>
    <t xml:space="preserve">LUIS LAMBIS </t>
  </si>
  <si>
    <t xml:space="preserve">JOSE MOSQUERA </t>
  </si>
  <si>
    <t>PANAMERICANA</t>
  </si>
  <si>
    <t xml:space="preserve">ALBERTO GOMEZ </t>
  </si>
  <si>
    <t>PAPELERIA COPY</t>
  </si>
  <si>
    <t xml:space="preserve">CARLOS PEREZ </t>
  </si>
  <si>
    <t>EDUARD RUBIO</t>
  </si>
  <si>
    <t>4495931***9708</t>
  </si>
  <si>
    <t>ANDRES GUTIERREZ BECERRA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</si>
</sst>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&quot;$&quot;\ #,##0_);[Red]\(&quot;$&quot;\ #,##0\)"/>
    <numFmt numFmtId="167" formatCode="_-&quot;$&quot;* #,##0_-;\-&quot;$&quot;* #,##0_-;_-&quot;$&quot;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26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name val="Times New Roman"/>
      <family val="1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4" fontId="3" fillId="2" borderId="20" xfId="2" applyFont="1" applyFill="1" applyBorder="1" applyAlignment="1" applyProtection="1">
      <alignment horizontal="center"/>
    </xf>
    <xf numFmtId="164" fontId="3" fillId="2" borderId="22" xfId="2" applyFont="1" applyFill="1" applyBorder="1" applyAlignment="1" applyProtection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7" xfId="0" applyFont="1" applyBorder="1"/>
    <xf numFmtId="0" fontId="5" fillId="0" borderId="7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17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164" fontId="3" fillId="0" borderId="20" xfId="2" applyFont="1" applyBorder="1" applyAlignment="1" applyProtection="1">
      <alignment horizontal="center"/>
    </xf>
    <xf numFmtId="0" fontId="3" fillId="0" borderId="21" xfId="0" applyFont="1" applyBorder="1"/>
    <xf numFmtId="41" fontId="5" fillId="0" borderId="6" xfId="0" applyNumberFormat="1" applyFont="1" applyBorder="1" applyAlignment="1">
      <alignment horizontal="center" vertical="center"/>
    </xf>
    <xf numFmtId="167" fontId="5" fillId="0" borderId="23" xfId="1" applyNumberFormat="1" applyFont="1" applyBorder="1" applyAlignment="1" applyProtection="1">
      <alignment vertical="center"/>
    </xf>
    <xf numFmtId="167" fontId="5" fillId="0" borderId="24" xfId="1" applyNumberFormat="1" applyFont="1" applyBorder="1" applyAlignment="1" applyProtection="1">
      <alignment vertical="center"/>
    </xf>
    <xf numFmtId="0" fontId="3" fillId="0" borderId="25" xfId="0" applyFont="1" applyBorder="1" applyAlignment="1">
      <alignment horizontal="left"/>
    </xf>
    <xf numFmtId="0" fontId="3" fillId="0" borderId="8" xfId="0" applyFont="1" applyBorder="1"/>
    <xf numFmtId="0" fontId="5" fillId="0" borderId="8" xfId="0" applyFont="1" applyBorder="1"/>
    <xf numFmtId="0" fontId="5" fillId="0" borderId="26" xfId="0" applyFont="1" applyBorder="1"/>
    <xf numFmtId="0" fontId="6" fillId="0" borderId="0" xfId="0" applyFont="1" applyAlignment="1">
      <alignment horizontal="left"/>
    </xf>
    <xf numFmtId="0" fontId="5" fillId="2" borderId="9" xfId="0" applyFont="1" applyFill="1" applyBorder="1"/>
    <xf numFmtId="0" fontId="5" fillId="2" borderId="16" xfId="0" applyFont="1" applyFill="1" applyBorder="1"/>
    <xf numFmtId="0" fontId="5" fillId="2" borderId="10" xfId="0" applyFont="1" applyFill="1" applyBorder="1"/>
    <xf numFmtId="0" fontId="3" fillId="2" borderId="11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center"/>
    </xf>
    <xf numFmtId="0" fontId="4" fillId="2" borderId="14" xfId="0" applyFont="1" applyFill="1" applyBorder="1"/>
    <xf numFmtId="0" fontId="5" fillId="2" borderId="0" xfId="0" applyFont="1" applyFill="1"/>
    <xf numFmtId="0" fontId="4" fillId="2" borderId="12" xfId="0" applyFont="1" applyFill="1" applyBorder="1"/>
    <xf numFmtId="0" fontId="3" fillId="2" borderId="13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1" fillId="2" borderId="0" xfId="0" applyFont="1" applyFill="1" applyAlignment="1">
      <alignment horizontal="left"/>
    </xf>
    <xf numFmtId="41" fontId="5" fillId="0" borderId="6" xfId="0" applyNumberFormat="1" applyFont="1" applyBorder="1" applyAlignment="1">
      <alignment horizontal="right" vertical="center"/>
    </xf>
    <xf numFmtId="41" fontId="12" fillId="0" borderId="6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14" fontId="5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218709</xdr:colOff>
      <xdr:row>0</xdr:row>
      <xdr:rowOff>141061</xdr:rowOff>
    </xdr:from>
    <xdr:to>
      <xdr:col>2</xdr:col>
      <xdr:colOff>2027789</xdr:colOff>
      <xdr:row>2</xdr:row>
      <xdr:rowOff>18142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348220-7B8E-4A10-96E1-2AE6527C4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09" y="141061"/>
          <a:ext cx="1885863" cy="820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8D22-BBE7-4C3A-9540-2C1938F62466}">
  <sheetPr>
    <pageSetUpPr fitToPage="1"/>
  </sheetPr>
  <dimension ref="C1:L78"/>
  <sheetViews>
    <sheetView tabSelected="1" view="pageBreakPreview" topLeftCell="C3" zoomScale="81" zoomScaleNormal="100" zoomScaleSheetLayoutView="80" workbookViewId="0">
      <selection activeCell="E14" sqref="E14"/>
    </sheetView>
  </sheetViews>
  <sheetFormatPr baseColWidth="10" defaultColWidth="10.83203125" defaultRowHeight="16" x14ac:dyDescent="0.2"/>
  <cols>
    <col min="1" max="2" width="10.83203125" style="6"/>
    <col min="3" max="3" width="30.5" style="6" customWidth="1"/>
    <col min="4" max="4" width="37.83203125" style="6" customWidth="1"/>
    <col min="5" max="5" width="40.1640625" style="6" customWidth="1"/>
    <col min="6" max="6" width="39.5" style="6" customWidth="1"/>
    <col min="7" max="7" width="33.1640625" style="6" customWidth="1"/>
    <col min="8" max="8" width="29.83203125" style="6" customWidth="1"/>
    <col min="9" max="9" width="24" style="6" customWidth="1"/>
    <col min="10" max="10" width="18.5" style="6" customWidth="1"/>
    <col min="11" max="11" width="25.83203125" style="6" customWidth="1"/>
    <col min="12" max="12" width="30.6640625" style="6" customWidth="1"/>
    <col min="13" max="16384" width="10.83203125" style="6"/>
  </cols>
  <sheetData>
    <row r="1" spans="3:11" ht="48" customHeight="1" x14ac:dyDescent="0.2">
      <c r="C1" s="60" t="s">
        <v>0</v>
      </c>
      <c r="D1" s="60"/>
      <c r="E1" s="60"/>
      <c r="F1" s="60"/>
      <c r="G1" s="60"/>
      <c r="H1" s="60"/>
      <c r="I1" s="61"/>
      <c r="J1" s="37" t="s">
        <v>43</v>
      </c>
      <c r="K1" s="37" t="s">
        <v>44</v>
      </c>
    </row>
    <row r="2" spans="3:11" ht="26.5" customHeight="1" x14ac:dyDescent="0.2">
      <c r="C2" s="62"/>
      <c r="D2" s="62"/>
      <c r="E2" s="62"/>
      <c r="F2" s="62"/>
      <c r="G2" s="62"/>
      <c r="H2" s="62"/>
      <c r="I2" s="63"/>
      <c r="J2" s="59" t="s">
        <v>45</v>
      </c>
      <c r="K2" s="59"/>
    </row>
    <row r="3" spans="3:11" x14ac:dyDescent="0.2">
      <c r="C3" s="64"/>
      <c r="D3" s="64"/>
      <c r="E3" s="64"/>
      <c r="F3" s="64"/>
      <c r="G3" s="64"/>
      <c r="H3" s="64"/>
      <c r="I3" s="65"/>
      <c r="J3" s="59" t="s">
        <v>1</v>
      </c>
      <c r="K3" s="59"/>
    </row>
    <row r="4" spans="3:11" x14ac:dyDescent="0.2">
      <c r="C4" s="7"/>
      <c r="D4" s="8"/>
      <c r="E4" s="8"/>
      <c r="F4" s="8"/>
      <c r="G4" s="8"/>
      <c r="H4" s="8"/>
      <c r="I4" s="8"/>
      <c r="J4" s="8"/>
      <c r="K4" s="8"/>
    </row>
    <row r="5" spans="3:11" ht="17" thickBot="1" x14ac:dyDescent="0.25">
      <c r="C5" s="9" t="s">
        <v>2</v>
      </c>
      <c r="D5" s="66" t="s">
        <v>74</v>
      </c>
      <c r="E5" s="66"/>
      <c r="F5" s="7"/>
      <c r="G5" s="8"/>
      <c r="H5" s="9" t="s">
        <v>31</v>
      </c>
      <c r="I5" s="43" t="s">
        <v>89</v>
      </c>
      <c r="J5" s="10"/>
    </row>
    <row r="6" spans="3:11" ht="17" thickBot="1" x14ac:dyDescent="0.25">
      <c r="C6" s="7"/>
      <c r="D6" s="8"/>
      <c r="E6" s="8"/>
      <c r="F6" s="8"/>
      <c r="G6" s="8"/>
      <c r="H6" s="9" t="s">
        <v>3</v>
      </c>
      <c r="I6" s="11" t="s">
        <v>66</v>
      </c>
      <c r="J6" s="10"/>
    </row>
    <row r="7" spans="3:11" ht="17" thickBot="1" x14ac:dyDescent="0.25">
      <c r="C7" s="12" t="s">
        <v>4</v>
      </c>
      <c r="D7" s="67" t="s">
        <v>75</v>
      </c>
      <c r="E7" s="67"/>
      <c r="F7" s="13"/>
      <c r="G7" s="12"/>
      <c r="H7" s="9" t="s">
        <v>5</v>
      </c>
      <c r="I7" s="11" t="s">
        <v>67</v>
      </c>
      <c r="J7" s="10"/>
    </row>
    <row r="8" spans="3:11" ht="17" thickBot="1" x14ac:dyDescent="0.25">
      <c r="C8" s="12"/>
      <c r="D8" s="13"/>
      <c r="E8" s="13"/>
      <c r="F8" s="13"/>
      <c r="G8" s="12"/>
      <c r="H8" s="9" t="s">
        <v>30</v>
      </c>
      <c r="I8" s="11" t="s">
        <v>73</v>
      </c>
      <c r="J8" s="10"/>
    </row>
    <row r="9" spans="3:11" ht="17" thickBot="1" x14ac:dyDescent="0.25">
      <c r="C9" s="12"/>
      <c r="D9" s="13"/>
      <c r="E9" s="13"/>
      <c r="F9" s="13"/>
      <c r="G9" s="12"/>
      <c r="H9" s="12"/>
      <c r="I9" s="9"/>
      <c r="J9" s="14"/>
    </row>
    <row r="10" spans="3:11" x14ac:dyDescent="0.2">
      <c r="C10" s="15" t="s">
        <v>6</v>
      </c>
      <c r="D10" s="16" t="s">
        <v>88</v>
      </c>
      <c r="E10" s="39"/>
      <c r="F10" s="13"/>
      <c r="G10" s="12"/>
      <c r="H10" s="12"/>
      <c r="I10" s="9"/>
      <c r="J10" s="14"/>
    </row>
    <row r="11" spans="3:11" x14ac:dyDescent="0.2">
      <c r="C11" s="17" t="s">
        <v>7</v>
      </c>
      <c r="D11" s="18">
        <v>1000000</v>
      </c>
      <c r="E11" s="13"/>
      <c r="F11" s="13"/>
      <c r="G11" s="12"/>
      <c r="H11" s="12"/>
      <c r="I11" s="9"/>
      <c r="J11" s="14"/>
    </row>
    <row r="12" spans="3:11" x14ac:dyDescent="0.2">
      <c r="C12" s="17" t="s">
        <v>41</v>
      </c>
      <c r="D12" s="18">
        <v>0</v>
      </c>
      <c r="E12" s="13"/>
      <c r="F12" s="13"/>
      <c r="G12" s="12"/>
      <c r="H12" s="12"/>
      <c r="I12" s="9"/>
      <c r="J12" s="14"/>
    </row>
    <row r="13" spans="3:11" x14ac:dyDescent="0.2">
      <c r="C13" s="17" t="s">
        <v>42</v>
      </c>
      <c r="D13" s="4">
        <f>+K63</f>
        <v>1000000</v>
      </c>
      <c r="E13" s="13"/>
      <c r="F13" s="13"/>
      <c r="G13" s="12"/>
      <c r="H13" s="12"/>
      <c r="I13" s="9"/>
      <c r="J13" s="14"/>
    </row>
    <row r="14" spans="3:11" ht="17" thickBot="1" x14ac:dyDescent="0.25">
      <c r="C14" s="19" t="s">
        <v>8</v>
      </c>
      <c r="D14" s="5">
        <f>+D11+D12-D13</f>
        <v>0</v>
      </c>
      <c r="E14" s="13"/>
      <c r="F14" s="13"/>
      <c r="G14" s="12"/>
      <c r="H14" s="12"/>
      <c r="I14" s="9"/>
      <c r="J14" s="14"/>
    </row>
    <row r="15" spans="3:11" x14ac:dyDescent="0.2">
      <c r="C15" s="12"/>
      <c r="D15" s="13"/>
      <c r="E15" s="13"/>
      <c r="F15" s="13"/>
      <c r="G15" s="12"/>
      <c r="H15" s="12"/>
      <c r="I15" s="9"/>
      <c r="J15" s="14"/>
    </row>
    <row r="16" spans="3:11" x14ac:dyDescent="0.2">
      <c r="C16" s="12"/>
      <c r="D16" s="13"/>
      <c r="E16" s="13"/>
      <c r="F16" s="13"/>
      <c r="G16" s="12"/>
      <c r="H16" s="12"/>
      <c r="I16" s="9"/>
      <c r="J16" s="14"/>
    </row>
    <row r="17" spans="3:11" ht="17" thickBot="1" x14ac:dyDescent="0.25">
      <c r="C17" s="7"/>
      <c r="D17" s="8"/>
      <c r="E17" s="8"/>
      <c r="F17" s="8"/>
      <c r="G17" s="8"/>
      <c r="H17" s="8"/>
      <c r="I17" s="8"/>
      <c r="J17" s="8"/>
      <c r="K17" s="8"/>
    </row>
    <row r="18" spans="3:11" x14ac:dyDescent="0.2">
      <c r="C18" s="68" t="s">
        <v>9</v>
      </c>
      <c r="D18" s="70" t="s">
        <v>10</v>
      </c>
      <c r="E18" s="70" t="s">
        <v>11</v>
      </c>
      <c r="F18" s="70" t="s">
        <v>12</v>
      </c>
      <c r="G18" s="70" t="s">
        <v>13</v>
      </c>
      <c r="H18" s="70" t="s">
        <v>14</v>
      </c>
      <c r="I18" s="72" t="s">
        <v>15</v>
      </c>
      <c r="J18" s="73"/>
      <c r="K18" s="70" t="s">
        <v>16</v>
      </c>
    </row>
    <row r="19" spans="3:11" x14ac:dyDescent="0.2">
      <c r="C19" s="69"/>
      <c r="D19" s="71"/>
      <c r="E19" s="71"/>
      <c r="F19" s="71"/>
      <c r="G19" s="71"/>
      <c r="H19" s="71"/>
      <c r="I19" s="74"/>
      <c r="J19" s="48"/>
      <c r="K19" s="71"/>
    </row>
    <row r="20" spans="3:11" x14ac:dyDescent="0.2">
      <c r="C20" s="44">
        <v>46190</v>
      </c>
      <c r="D20" s="20" t="s">
        <v>68</v>
      </c>
      <c r="E20" s="20" t="s">
        <v>17</v>
      </c>
      <c r="F20" s="45" t="s">
        <v>69</v>
      </c>
      <c r="G20" s="20" t="s">
        <v>18</v>
      </c>
      <c r="H20" s="40">
        <v>88200690</v>
      </c>
      <c r="I20" s="46" t="s">
        <v>39</v>
      </c>
      <c r="J20" s="46"/>
      <c r="K20" s="42">
        <v>12000</v>
      </c>
    </row>
    <row r="21" spans="3:11" x14ac:dyDescent="0.2">
      <c r="C21" s="44">
        <v>46190</v>
      </c>
      <c r="D21" s="20" t="s">
        <v>68</v>
      </c>
      <c r="E21" s="20" t="s">
        <v>17</v>
      </c>
      <c r="F21" s="45" t="s">
        <v>77</v>
      </c>
      <c r="G21" s="20" t="s">
        <v>18</v>
      </c>
      <c r="H21" s="40">
        <v>24716670</v>
      </c>
      <c r="I21" s="46" t="s">
        <v>39</v>
      </c>
      <c r="J21" s="46"/>
      <c r="K21" s="42">
        <v>40000</v>
      </c>
    </row>
    <row r="22" spans="3:11" x14ac:dyDescent="0.2">
      <c r="C22" s="44">
        <v>46190</v>
      </c>
      <c r="D22" s="20" t="s">
        <v>68</v>
      </c>
      <c r="E22" s="20" t="s">
        <v>17</v>
      </c>
      <c r="F22" s="45" t="s">
        <v>82</v>
      </c>
      <c r="G22" s="20" t="s">
        <v>18</v>
      </c>
      <c r="H22" s="40">
        <v>1129364037</v>
      </c>
      <c r="I22" s="46" t="s">
        <v>39</v>
      </c>
      <c r="J22" s="46"/>
      <c r="K22" s="42">
        <v>12000</v>
      </c>
    </row>
    <row r="23" spans="3:11" x14ac:dyDescent="0.2">
      <c r="C23" s="44">
        <v>46190</v>
      </c>
      <c r="D23" s="20" t="s">
        <v>68</v>
      </c>
      <c r="E23" s="20" t="s">
        <v>32</v>
      </c>
      <c r="F23" s="45" t="s">
        <v>70</v>
      </c>
      <c r="G23" s="20" t="s">
        <v>34</v>
      </c>
      <c r="H23" s="40">
        <v>900155107</v>
      </c>
      <c r="I23" s="46" t="s">
        <v>37</v>
      </c>
      <c r="J23" s="46"/>
      <c r="K23" s="42">
        <v>67350</v>
      </c>
    </row>
    <row r="24" spans="3:11" x14ac:dyDescent="0.2">
      <c r="C24" s="44">
        <v>46191</v>
      </c>
      <c r="D24" s="20" t="s">
        <v>68</v>
      </c>
      <c r="E24" s="20" t="s">
        <v>17</v>
      </c>
      <c r="F24" s="45" t="s">
        <v>79</v>
      </c>
      <c r="G24" s="20" t="s">
        <v>18</v>
      </c>
      <c r="H24" s="40">
        <v>1107448088</v>
      </c>
      <c r="I24" s="46" t="s">
        <v>39</v>
      </c>
      <c r="J24" s="46"/>
      <c r="K24" s="42">
        <v>12000</v>
      </c>
    </row>
    <row r="25" spans="3:11" x14ac:dyDescent="0.2">
      <c r="C25" s="44">
        <v>46191</v>
      </c>
      <c r="D25" s="20" t="s">
        <v>68</v>
      </c>
      <c r="E25" s="20" t="s">
        <v>17</v>
      </c>
      <c r="F25" s="45" t="s">
        <v>80</v>
      </c>
      <c r="G25" s="20" t="s">
        <v>18</v>
      </c>
      <c r="H25" s="40">
        <v>113719071</v>
      </c>
      <c r="I25" s="46" t="s">
        <v>39</v>
      </c>
      <c r="J25" s="46"/>
      <c r="K25" s="42">
        <v>12000</v>
      </c>
    </row>
    <row r="26" spans="3:11" x14ac:dyDescent="0.2">
      <c r="C26" s="44">
        <v>46191</v>
      </c>
      <c r="D26" s="20" t="s">
        <v>68</v>
      </c>
      <c r="E26" s="20" t="s">
        <v>17</v>
      </c>
      <c r="F26" s="45" t="s">
        <v>78</v>
      </c>
      <c r="G26" s="20" t="s">
        <v>18</v>
      </c>
      <c r="H26" s="40">
        <v>16219976</v>
      </c>
      <c r="I26" s="46" t="s">
        <v>39</v>
      </c>
      <c r="J26" s="46"/>
      <c r="K26" s="42">
        <v>12000</v>
      </c>
    </row>
    <row r="27" spans="3:11" x14ac:dyDescent="0.2">
      <c r="C27" s="44">
        <v>46191</v>
      </c>
      <c r="D27" s="20" t="s">
        <v>68</v>
      </c>
      <c r="E27" s="20" t="s">
        <v>17</v>
      </c>
      <c r="F27" s="45" t="s">
        <v>76</v>
      </c>
      <c r="G27" s="20" t="s">
        <v>18</v>
      </c>
      <c r="H27" s="40">
        <v>89267356</v>
      </c>
      <c r="I27" s="46" t="s">
        <v>39</v>
      </c>
      <c r="J27" s="46"/>
      <c r="K27" s="42">
        <v>23000</v>
      </c>
    </row>
    <row r="28" spans="3:11" x14ac:dyDescent="0.2">
      <c r="C28" s="44">
        <v>46192</v>
      </c>
      <c r="D28" s="20" t="s">
        <v>68</v>
      </c>
      <c r="E28" s="20" t="s">
        <v>17</v>
      </c>
      <c r="F28" s="45" t="s">
        <v>81</v>
      </c>
      <c r="G28" s="20" t="s">
        <v>18</v>
      </c>
      <c r="H28" s="40">
        <v>1002013275</v>
      </c>
      <c r="I28" s="46" t="s">
        <v>39</v>
      </c>
      <c r="J28" s="46"/>
      <c r="K28" s="42">
        <v>12000</v>
      </c>
    </row>
    <row r="29" spans="3:11" x14ac:dyDescent="0.2">
      <c r="C29" s="44">
        <v>46192</v>
      </c>
      <c r="D29" s="20" t="s">
        <v>68</v>
      </c>
      <c r="E29" s="20" t="s">
        <v>32</v>
      </c>
      <c r="F29" s="45" t="s">
        <v>71</v>
      </c>
      <c r="G29" s="20" t="s">
        <v>34</v>
      </c>
      <c r="H29" s="40">
        <v>890208788</v>
      </c>
      <c r="I29" s="46" t="s">
        <v>40</v>
      </c>
      <c r="J29" s="46"/>
      <c r="K29" s="42">
        <v>38600</v>
      </c>
    </row>
    <row r="30" spans="3:11" x14ac:dyDescent="0.2">
      <c r="C30" s="44">
        <v>46192</v>
      </c>
      <c r="D30" s="20" t="s">
        <v>68</v>
      </c>
      <c r="E30" s="20" t="s">
        <v>17</v>
      </c>
      <c r="F30" s="45" t="s">
        <v>72</v>
      </c>
      <c r="G30" s="20" t="s">
        <v>18</v>
      </c>
      <c r="H30" s="40">
        <v>78909765</v>
      </c>
      <c r="I30" s="46" t="s">
        <v>39</v>
      </c>
      <c r="J30" s="46"/>
      <c r="K30" s="42">
        <v>21000</v>
      </c>
    </row>
    <row r="31" spans="3:11" x14ac:dyDescent="0.2">
      <c r="C31" s="44">
        <v>46192</v>
      </c>
      <c r="D31" s="20" t="s">
        <v>68</v>
      </c>
      <c r="E31" s="20" t="s">
        <v>32</v>
      </c>
      <c r="F31" s="45" t="s">
        <v>83</v>
      </c>
      <c r="G31" s="20" t="s">
        <v>34</v>
      </c>
      <c r="H31" s="40">
        <v>830037946</v>
      </c>
      <c r="I31" s="46" t="s">
        <v>38</v>
      </c>
      <c r="J31" s="46"/>
      <c r="K31" s="42">
        <v>30900</v>
      </c>
    </row>
    <row r="32" spans="3:11" x14ac:dyDescent="0.2">
      <c r="C32" s="44">
        <v>46192</v>
      </c>
      <c r="D32" s="20" t="s">
        <v>68</v>
      </c>
      <c r="E32" s="20" t="s">
        <v>32</v>
      </c>
      <c r="F32" s="45" t="s">
        <v>83</v>
      </c>
      <c r="G32" s="20" t="s">
        <v>34</v>
      </c>
      <c r="H32" s="40">
        <v>830037946</v>
      </c>
      <c r="I32" s="46" t="s">
        <v>38</v>
      </c>
      <c r="J32" s="46"/>
      <c r="K32" s="42">
        <v>31300</v>
      </c>
    </row>
    <row r="33" spans="3:11" x14ac:dyDescent="0.2">
      <c r="C33" s="44">
        <v>46193</v>
      </c>
      <c r="D33" s="20" t="s">
        <v>68</v>
      </c>
      <c r="E33" s="20" t="s">
        <v>17</v>
      </c>
      <c r="F33" s="45" t="s">
        <v>86</v>
      </c>
      <c r="G33" s="20" t="s">
        <v>18</v>
      </c>
      <c r="H33" s="40">
        <v>80165789</v>
      </c>
      <c r="I33" s="46" t="s">
        <v>39</v>
      </c>
      <c r="J33" s="46"/>
      <c r="K33" s="42">
        <v>30000</v>
      </c>
    </row>
    <row r="34" spans="3:11" x14ac:dyDescent="0.2">
      <c r="C34" s="44">
        <v>46192</v>
      </c>
      <c r="D34" s="20" t="s">
        <v>68</v>
      </c>
      <c r="E34" s="20" t="s">
        <v>17</v>
      </c>
      <c r="F34" s="45" t="s">
        <v>70</v>
      </c>
      <c r="G34" s="20" t="s">
        <v>34</v>
      </c>
      <c r="H34" s="40">
        <v>900155107</v>
      </c>
      <c r="I34" s="46" t="s">
        <v>40</v>
      </c>
      <c r="J34" s="46"/>
      <c r="K34" s="42">
        <v>31465</v>
      </c>
    </row>
    <row r="35" spans="3:11" x14ac:dyDescent="0.2">
      <c r="C35" s="44">
        <v>46194</v>
      </c>
      <c r="D35" s="20" t="s">
        <v>68</v>
      </c>
      <c r="E35" s="20" t="s">
        <v>17</v>
      </c>
      <c r="F35" s="45" t="s">
        <v>69</v>
      </c>
      <c r="G35" s="20" t="s">
        <v>18</v>
      </c>
      <c r="H35" s="40">
        <v>88200690</v>
      </c>
      <c r="I35" s="46" t="s">
        <v>39</v>
      </c>
      <c r="J35" s="46"/>
      <c r="K35" s="42">
        <v>48000</v>
      </c>
    </row>
    <row r="36" spans="3:11" x14ac:dyDescent="0.2">
      <c r="C36" s="44">
        <v>46194</v>
      </c>
      <c r="D36" s="20" t="s">
        <v>68</v>
      </c>
      <c r="E36" s="20" t="s">
        <v>17</v>
      </c>
      <c r="F36" s="45" t="s">
        <v>84</v>
      </c>
      <c r="G36" s="20" t="s">
        <v>18</v>
      </c>
      <c r="H36" s="40">
        <v>79586326</v>
      </c>
      <c r="I36" s="46" t="s">
        <v>39</v>
      </c>
      <c r="J36" s="46"/>
      <c r="K36" s="42">
        <v>48000</v>
      </c>
    </row>
    <row r="37" spans="3:11" x14ac:dyDescent="0.2">
      <c r="C37" s="44">
        <v>46194</v>
      </c>
      <c r="D37" s="20" t="s">
        <v>68</v>
      </c>
      <c r="E37" s="20" t="s">
        <v>17</v>
      </c>
      <c r="F37" s="45" t="s">
        <v>85</v>
      </c>
      <c r="G37" s="20" t="s">
        <v>18</v>
      </c>
      <c r="H37" s="40">
        <v>80179356</v>
      </c>
      <c r="I37" s="46" t="s">
        <v>38</v>
      </c>
      <c r="J37" s="46"/>
      <c r="K37" s="42">
        <v>60000</v>
      </c>
    </row>
    <row r="38" spans="3:11" x14ac:dyDescent="0.2">
      <c r="C38" s="44">
        <v>46195</v>
      </c>
      <c r="D38" s="20" t="s">
        <v>68</v>
      </c>
      <c r="E38" s="20" t="s">
        <v>17</v>
      </c>
      <c r="F38" s="41" t="s">
        <v>69</v>
      </c>
      <c r="G38" s="20" t="s">
        <v>18</v>
      </c>
      <c r="H38" s="40">
        <v>88200690</v>
      </c>
      <c r="I38" s="46" t="s">
        <v>39</v>
      </c>
      <c r="J38" s="46"/>
      <c r="K38" s="42">
        <v>30000</v>
      </c>
    </row>
    <row r="39" spans="3:11" x14ac:dyDescent="0.2">
      <c r="C39" s="44">
        <v>46195</v>
      </c>
      <c r="D39" s="20" t="s">
        <v>68</v>
      </c>
      <c r="E39" s="20" t="s">
        <v>17</v>
      </c>
      <c r="F39" s="41" t="s">
        <v>87</v>
      </c>
      <c r="G39" s="20" t="s">
        <v>18</v>
      </c>
      <c r="H39" s="40">
        <v>1010168582</v>
      </c>
      <c r="I39" s="46" t="s">
        <v>40</v>
      </c>
      <c r="J39" s="46"/>
      <c r="K39" s="42">
        <v>428385</v>
      </c>
    </row>
    <row r="40" spans="3:11" x14ac:dyDescent="0.2">
      <c r="C40" s="44"/>
      <c r="D40" s="20"/>
      <c r="E40" s="20"/>
      <c r="F40" s="41"/>
      <c r="G40" s="20"/>
      <c r="H40" s="40"/>
      <c r="I40" s="46"/>
      <c r="J40" s="46"/>
      <c r="K40" s="42"/>
    </row>
    <row r="41" spans="3:11" x14ac:dyDescent="0.2">
      <c r="C41" s="44"/>
      <c r="D41" s="20"/>
      <c r="E41" s="20"/>
      <c r="F41" s="41"/>
      <c r="G41" s="20"/>
      <c r="H41" s="20"/>
      <c r="I41" s="46"/>
      <c r="J41" s="46"/>
      <c r="K41" s="42"/>
    </row>
    <row r="42" spans="3:11" x14ac:dyDescent="0.2">
      <c r="C42" s="44"/>
      <c r="D42" s="20"/>
      <c r="E42" s="20"/>
      <c r="F42" s="45"/>
      <c r="G42" s="20"/>
      <c r="H42" s="40"/>
      <c r="I42" s="46"/>
      <c r="J42" s="46"/>
      <c r="K42" s="42"/>
    </row>
    <row r="43" spans="3:11" x14ac:dyDescent="0.2">
      <c r="C43" s="44"/>
      <c r="D43" s="20"/>
      <c r="E43" s="20"/>
      <c r="F43" s="41"/>
      <c r="G43" s="20"/>
      <c r="H43" s="20"/>
      <c r="I43" s="46"/>
      <c r="J43" s="46"/>
      <c r="K43" s="42"/>
    </row>
    <row r="44" spans="3:11" x14ac:dyDescent="0.2">
      <c r="C44" s="44"/>
      <c r="D44" s="20"/>
      <c r="E44" s="20"/>
      <c r="F44" s="41"/>
      <c r="G44" s="20"/>
      <c r="H44" s="20"/>
      <c r="I44" s="46"/>
      <c r="J44" s="46"/>
      <c r="K44" s="42"/>
    </row>
    <row r="45" spans="3:11" x14ac:dyDescent="0.2">
      <c r="C45" s="44"/>
      <c r="D45" s="20"/>
      <c r="E45" s="20"/>
      <c r="F45" s="41"/>
      <c r="G45" s="20"/>
      <c r="H45" s="40"/>
      <c r="I45" s="46"/>
      <c r="J45" s="46"/>
      <c r="K45" s="42"/>
    </row>
    <row r="46" spans="3:11" x14ac:dyDescent="0.2">
      <c r="C46" s="44"/>
      <c r="D46" s="20"/>
      <c r="E46" s="20"/>
      <c r="F46" s="41"/>
      <c r="G46" s="20"/>
      <c r="H46" s="40"/>
      <c r="I46" s="46"/>
      <c r="J46" s="46"/>
      <c r="K46" s="42"/>
    </row>
    <row r="47" spans="3:11" x14ac:dyDescent="0.2">
      <c r="C47" s="44"/>
      <c r="D47" s="20"/>
      <c r="E47" s="20"/>
      <c r="F47" s="45"/>
      <c r="G47" s="20"/>
      <c r="H47" s="40"/>
      <c r="I47" s="46"/>
      <c r="J47" s="46"/>
      <c r="K47" s="42"/>
    </row>
    <row r="48" spans="3:11" x14ac:dyDescent="0.2">
      <c r="C48" s="44"/>
      <c r="D48" s="20"/>
      <c r="E48" s="20"/>
      <c r="F48" s="45"/>
      <c r="G48" s="20"/>
      <c r="H48" s="40"/>
      <c r="I48" s="46"/>
      <c r="J48" s="46"/>
      <c r="K48" s="42"/>
    </row>
    <row r="49" spans="3:11" x14ac:dyDescent="0.2">
      <c r="C49" s="44"/>
      <c r="D49" s="20"/>
      <c r="E49" s="20"/>
      <c r="F49" s="41"/>
      <c r="G49" s="20"/>
      <c r="H49" s="40"/>
      <c r="I49" s="46"/>
      <c r="J49" s="46"/>
      <c r="K49" s="42"/>
    </row>
    <row r="50" spans="3:11" x14ac:dyDescent="0.2">
      <c r="C50" s="44"/>
      <c r="D50" s="20"/>
      <c r="E50" s="20"/>
      <c r="F50" s="41"/>
      <c r="G50" s="20"/>
      <c r="H50" s="20"/>
      <c r="I50" s="46"/>
      <c r="J50" s="46"/>
      <c r="K50" s="42"/>
    </row>
    <row r="51" spans="3:11" x14ac:dyDescent="0.2">
      <c r="C51" s="44"/>
      <c r="D51" s="20"/>
      <c r="E51" s="20"/>
      <c r="F51" s="41"/>
      <c r="G51" s="20"/>
      <c r="H51" s="20"/>
      <c r="I51" s="46"/>
      <c r="J51" s="46"/>
      <c r="K51" s="42"/>
    </row>
    <row r="52" spans="3:11" x14ac:dyDescent="0.2">
      <c r="C52" s="44"/>
      <c r="D52" s="20"/>
      <c r="E52" s="20"/>
      <c r="F52" s="41"/>
      <c r="G52" s="20"/>
      <c r="H52" s="40"/>
      <c r="I52" s="46"/>
      <c r="J52" s="46"/>
      <c r="K52" s="42"/>
    </row>
    <row r="53" spans="3:11" x14ac:dyDescent="0.2">
      <c r="C53" s="44"/>
      <c r="D53" s="20"/>
      <c r="E53" s="20"/>
      <c r="F53" s="41"/>
      <c r="G53" s="20"/>
      <c r="H53" s="20"/>
      <c r="I53" s="46"/>
      <c r="J53" s="46"/>
      <c r="K53" s="42"/>
    </row>
    <row r="54" spans="3:11" x14ac:dyDescent="0.2">
      <c r="C54" s="44"/>
      <c r="D54" s="20"/>
      <c r="E54" s="20"/>
      <c r="F54" s="41"/>
      <c r="G54" s="20"/>
      <c r="H54" s="40"/>
      <c r="I54" s="46"/>
      <c r="J54" s="46"/>
      <c r="K54" s="42"/>
    </row>
    <row r="55" spans="3:11" x14ac:dyDescent="0.2">
      <c r="C55" s="44"/>
      <c r="D55" s="20"/>
      <c r="E55" s="20"/>
      <c r="F55" s="41"/>
      <c r="G55" s="20"/>
      <c r="H55" s="20"/>
      <c r="I55" s="46"/>
      <c r="J55" s="46"/>
      <c r="K55" s="42"/>
    </row>
    <row r="56" spans="3:11" x14ac:dyDescent="0.2">
      <c r="C56" s="44"/>
      <c r="D56" s="20"/>
      <c r="E56" s="20"/>
      <c r="F56" s="41"/>
      <c r="G56" s="20"/>
      <c r="H56" s="20"/>
      <c r="I56" s="46"/>
      <c r="J56" s="46"/>
      <c r="K56" s="42"/>
    </row>
    <row r="57" spans="3:11" x14ac:dyDescent="0.2">
      <c r="C57" s="44"/>
      <c r="D57" s="20"/>
      <c r="E57" s="20"/>
      <c r="F57" s="41"/>
      <c r="G57" s="20"/>
      <c r="H57" s="20"/>
      <c r="I57" s="46"/>
      <c r="J57" s="46"/>
      <c r="K57" s="42"/>
    </row>
    <row r="58" spans="3:11" x14ac:dyDescent="0.2">
      <c r="C58" s="44"/>
      <c r="D58" s="20"/>
      <c r="E58" s="20"/>
      <c r="F58" s="45"/>
      <c r="G58" s="20"/>
      <c r="H58" s="40"/>
      <c r="I58" s="46"/>
      <c r="J58" s="46"/>
      <c r="K58" s="42"/>
    </row>
    <row r="59" spans="3:11" x14ac:dyDescent="0.2">
      <c r="C59" s="44"/>
      <c r="D59" s="20"/>
      <c r="E59" s="20"/>
      <c r="F59" s="41"/>
      <c r="G59" s="20"/>
      <c r="H59" s="20"/>
      <c r="I59" s="46"/>
      <c r="J59" s="46"/>
      <c r="K59" s="42"/>
    </row>
    <row r="60" spans="3:11" x14ac:dyDescent="0.2">
      <c r="C60" s="44"/>
      <c r="D60" s="20"/>
      <c r="E60" s="20"/>
      <c r="F60" s="41"/>
      <c r="G60" s="20"/>
      <c r="H60" s="20"/>
      <c r="I60" s="46"/>
      <c r="J60" s="46"/>
      <c r="K60" s="42"/>
    </row>
    <row r="61" spans="3:11" x14ac:dyDescent="0.2">
      <c r="C61" s="44"/>
      <c r="D61" s="20"/>
      <c r="E61" s="20"/>
      <c r="F61" s="41"/>
      <c r="G61" s="20"/>
      <c r="H61" s="40"/>
      <c r="I61" s="46"/>
      <c r="J61" s="46"/>
      <c r="K61" s="42"/>
    </row>
    <row r="62" spans="3:11" x14ac:dyDescent="0.2">
      <c r="C62" s="44"/>
      <c r="D62" s="20"/>
      <c r="E62" s="20"/>
      <c r="F62" s="41"/>
      <c r="G62" s="20"/>
      <c r="H62" s="40"/>
      <c r="I62" s="46"/>
      <c r="J62" s="46"/>
      <c r="K62" s="42"/>
    </row>
    <row r="63" spans="3:11" ht="17" thickBot="1" x14ac:dyDescent="0.25">
      <c r="C63" s="48"/>
      <c r="D63" s="48"/>
      <c r="E63" s="48"/>
      <c r="F63" s="48"/>
      <c r="G63" s="48"/>
      <c r="H63" s="48"/>
      <c r="I63" s="48"/>
      <c r="J63" s="21" t="s">
        <v>16</v>
      </c>
      <c r="K63" s="22">
        <f>SUM(K20:K62)</f>
        <v>1000000</v>
      </c>
    </row>
    <row r="64" spans="3:11" ht="17" thickBot="1" x14ac:dyDescent="0.25">
      <c r="C64" s="7"/>
      <c r="D64" s="8"/>
      <c r="E64" s="8"/>
      <c r="F64" s="8"/>
      <c r="G64" s="8"/>
      <c r="H64" s="8"/>
      <c r="I64" s="8"/>
      <c r="J64" s="8"/>
      <c r="K64" s="8"/>
    </row>
    <row r="65" spans="3:12" ht="17" thickBot="1" x14ac:dyDescent="0.25">
      <c r="C65" s="23" t="s">
        <v>29</v>
      </c>
      <c r="D65" s="24"/>
      <c r="E65" s="24"/>
      <c r="F65" s="24"/>
      <c r="G65" s="24"/>
      <c r="H65" s="24"/>
      <c r="I65" s="25"/>
      <c r="J65" s="25"/>
      <c r="K65" s="26"/>
    </row>
    <row r="66" spans="3:12" x14ac:dyDescent="0.2">
      <c r="C66" s="49"/>
      <c r="D66" s="50"/>
      <c r="E66" s="50"/>
      <c r="F66" s="50"/>
      <c r="G66" s="50"/>
      <c r="H66" s="50"/>
      <c r="I66" s="50"/>
      <c r="J66" s="50"/>
      <c r="K66" s="51"/>
    </row>
    <row r="67" spans="3:12" x14ac:dyDescent="0.2">
      <c r="C67" s="52"/>
      <c r="D67" s="53"/>
      <c r="E67" s="53"/>
      <c r="F67" s="53"/>
      <c r="G67" s="53"/>
      <c r="H67" s="53"/>
      <c r="I67" s="53"/>
      <c r="J67" s="53"/>
      <c r="K67" s="54"/>
    </row>
    <row r="68" spans="3:12" x14ac:dyDescent="0.2">
      <c r="C68" s="52"/>
      <c r="D68" s="53"/>
      <c r="E68" s="53"/>
      <c r="F68" s="53"/>
      <c r="G68" s="53"/>
      <c r="H68" s="53"/>
      <c r="I68" s="53"/>
      <c r="J68" s="53"/>
      <c r="K68" s="54"/>
    </row>
    <row r="69" spans="3:12" ht="17" thickBot="1" x14ac:dyDescent="0.25">
      <c r="C69" s="55"/>
      <c r="D69" s="56"/>
      <c r="E69" s="56"/>
      <c r="F69" s="56"/>
      <c r="G69" s="56"/>
      <c r="H69" s="56"/>
      <c r="I69" s="56"/>
      <c r="J69" s="56"/>
      <c r="K69" s="57"/>
    </row>
    <row r="70" spans="3:12" ht="17" thickBot="1" x14ac:dyDescent="0.25">
      <c r="C70" s="7"/>
      <c r="D70" s="8"/>
      <c r="E70" s="8"/>
      <c r="F70" s="8"/>
      <c r="G70" s="8"/>
      <c r="H70" s="8"/>
      <c r="I70" s="8"/>
      <c r="J70" s="8"/>
      <c r="K70" s="8"/>
    </row>
    <row r="71" spans="3:12" x14ac:dyDescent="0.2">
      <c r="C71" s="7"/>
      <c r="D71" s="8"/>
      <c r="E71" s="8"/>
      <c r="F71" s="8"/>
      <c r="G71" s="8"/>
      <c r="H71" s="8"/>
      <c r="I71" s="28"/>
      <c r="J71" s="29"/>
      <c r="K71" s="30"/>
      <c r="L71" s="7"/>
    </row>
    <row r="72" spans="3:12" ht="17" thickBot="1" x14ac:dyDescent="0.25">
      <c r="C72" s="27" t="s">
        <v>20</v>
      </c>
      <c r="D72" s="8"/>
      <c r="E72" s="8"/>
      <c r="F72" s="8"/>
      <c r="G72" s="8"/>
      <c r="H72" s="8"/>
      <c r="I72" s="31" t="s">
        <v>21</v>
      </c>
      <c r="J72" s="32"/>
      <c r="K72" s="33"/>
    </row>
    <row r="73" spans="3:12" x14ac:dyDescent="0.2">
      <c r="C73" s="58" t="s">
        <v>22</v>
      </c>
      <c r="D73" s="58"/>
      <c r="E73" s="58"/>
      <c r="F73" s="58"/>
      <c r="G73" s="58"/>
      <c r="H73" s="58"/>
      <c r="I73" s="31"/>
      <c r="J73" s="34"/>
      <c r="K73" s="35"/>
    </row>
    <row r="74" spans="3:12" ht="17" thickBot="1" x14ac:dyDescent="0.25">
      <c r="C74" s="47" t="s">
        <v>23</v>
      </c>
      <c r="D74" s="47"/>
      <c r="E74" s="47"/>
      <c r="F74" s="47"/>
      <c r="G74" s="47"/>
      <c r="H74" s="47"/>
      <c r="I74" s="31" t="s">
        <v>24</v>
      </c>
      <c r="J74" s="32"/>
      <c r="K74" s="33"/>
    </row>
    <row r="75" spans="3:12" x14ac:dyDescent="0.2">
      <c r="C75" s="58" t="s">
        <v>25</v>
      </c>
      <c r="D75" s="58"/>
      <c r="E75" s="58"/>
      <c r="F75" s="58"/>
      <c r="G75" s="58"/>
      <c r="H75" s="58"/>
      <c r="I75" s="31"/>
      <c r="J75" s="34"/>
      <c r="K75" s="35"/>
    </row>
    <row r="76" spans="3:12" ht="17" thickBot="1" x14ac:dyDescent="0.25">
      <c r="C76" s="47" t="s">
        <v>26</v>
      </c>
      <c r="D76" s="47"/>
      <c r="E76" s="47"/>
      <c r="F76" s="47"/>
      <c r="G76" s="47"/>
      <c r="H76" s="47"/>
      <c r="I76" s="31" t="s">
        <v>27</v>
      </c>
      <c r="J76" s="32"/>
      <c r="K76" s="33"/>
    </row>
    <row r="77" spans="3:12" x14ac:dyDescent="0.2">
      <c r="I77" s="31"/>
      <c r="J77" s="34"/>
      <c r="K77" s="35"/>
    </row>
    <row r="78" spans="3:12" ht="17" thickBot="1" x14ac:dyDescent="0.25">
      <c r="I78" s="36" t="s">
        <v>28</v>
      </c>
      <c r="J78" s="32"/>
      <c r="K78" s="33"/>
    </row>
  </sheetData>
  <protectedRanges>
    <protectedRange algorithmName="SHA-512" hashValue="27P8EfpaMpYIjrIUbyyVbGs6BPqdFvVN1AGozE69XRZ7wJXFW1RJXJ//DTFx+l8j7YWDTwr0QAewUnQpnaohcQ==" saltValue="pGF7cUZNys3xLWruRM+E0w==" spinCount="100000" sqref="D13:D14" name="Rango1"/>
  </protectedRanges>
  <mergeCells count="62">
    <mergeCell ref="I31:J31"/>
    <mergeCell ref="I32:J32"/>
    <mergeCell ref="K18:K19"/>
    <mergeCell ref="I47:J47"/>
    <mergeCell ref="I43:J43"/>
    <mergeCell ref="I44:J44"/>
    <mergeCell ref="I46:J46"/>
    <mergeCell ref="I45:J45"/>
    <mergeCell ref="I39:J39"/>
    <mergeCell ref="I40:J40"/>
    <mergeCell ref="I33:J33"/>
    <mergeCell ref="I53:J53"/>
    <mergeCell ref="I54:J54"/>
    <mergeCell ref="I55:J55"/>
    <mergeCell ref="I48:J48"/>
    <mergeCell ref="I49:J49"/>
    <mergeCell ref="I51:J51"/>
    <mergeCell ref="I52:J52"/>
    <mergeCell ref="I50:J50"/>
    <mergeCell ref="G18:G19"/>
    <mergeCell ref="H18:H19"/>
    <mergeCell ref="I18:J19"/>
    <mergeCell ref="I41:J41"/>
    <mergeCell ref="I20:J20"/>
    <mergeCell ref="I29:J29"/>
    <mergeCell ref="I23:J23"/>
    <mergeCell ref="I27:J27"/>
    <mergeCell ref="I30:J30"/>
    <mergeCell ref="I34:J34"/>
    <mergeCell ref="I21:J21"/>
    <mergeCell ref="I26:J26"/>
    <mergeCell ref="I24:J24"/>
    <mergeCell ref="I25:J25"/>
    <mergeCell ref="I28:J28"/>
    <mergeCell ref="I22:J22"/>
    <mergeCell ref="J2:K2"/>
    <mergeCell ref="J3:K3"/>
    <mergeCell ref="C1:I3"/>
    <mergeCell ref="I56:J56"/>
    <mergeCell ref="I57:J57"/>
    <mergeCell ref="I35:J35"/>
    <mergeCell ref="I36:J36"/>
    <mergeCell ref="I37:J37"/>
    <mergeCell ref="I38:J38"/>
    <mergeCell ref="D5:E5"/>
    <mergeCell ref="D7:E7"/>
    <mergeCell ref="I42:J42"/>
    <mergeCell ref="C18:C19"/>
    <mergeCell ref="D18:D19"/>
    <mergeCell ref="E18:E19"/>
    <mergeCell ref="F18:F19"/>
    <mergeCell ref="C76:H76"/>
    <mergeCell ref="C63:I63"/>
    <mergeCell ref="C66:K69"/>
    <mergeCell ref="C73:H73"/>
    <mergeCell ref="C74:H74"/>
    <mergeCell ref="C75:H75"/>
    <mergeCell ref="I58:J58"/>
    <mergeCell ref="I60:J60"/>
    <mergeCell ref="I61:J61"/>
    <mergeCell ref="I62:J62"/>
    <mergeCell ref="I59:J59"/>
  </mergeCells>
  <pageMargins left="0.7" right="0.7" top="1.135" bottom="0.75" header="0.3" footer="0.3"/>
  <pageSetup paperSize="5" scale="37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D9C7FAA-D865-4734-B6D4-E690333C6C54}">
          <x14:formula1>
            <xm:f>Listado!$D$10:$D$16</xm:f>
          </x14:formula1>
          <xm:sqref>I5</xm:sqref>
        </x14:dataValidation>
        <x14:dataValidation type="list" allowBlank="1" showInputMessage="1" showErrorMessage="1" xr:uid="{E095A68B-E185-4F89-8589-D52B275BB1E1}">
          <x14:formula1>
            <xm:f>Listado!$C$10:$C$16</xm:f>
          </x14:formula1>
          <xm:sqref>D10</xm:sqref>
        </x14:dataValidation>
        <x14:dataValidation type="list" allowBlank="1" showInputMessage="1" showErrorMessage="1" xr:uid="{540E67E3-4ABA-40A6-91FD-8DD802DD11FD}">
          <x14:formula1>
            <xm:f>Listado!$C$2:$C$7</xm:f>
          </x14:formula1>
          <xm:sqref>J29:J30 J20 J23 J27 J35:J62 I20:I62</xm:sqref>
        </x14:dataValidation>
        <x14:dataValidation type="list" allowBlank="1" showInputMessage="1" showErrorMessage="1" xr:uid="{80ECBBBA-98A1-4A0E-967C-537AF20EF3B0}">
          <x14:formula1>
            <xm:f>Listado!$B$2:$B$5</xm:f>
          </x14:formula1>
          <xm:sqref>G20:G62</xm:sqref>
        </x14:dataValidation>
        <x14:dataValidation type="list" allowBlank="1" showInputMessage="1" showErrorMessage="1" xr:uid="{5F08849D-542E-4B86-92BA-7F396C99FFD2}">
          <x14:formula1>
            <xm:f>Listado!$A$2:$A$4</xm:f>
          </x14:formula1>
          <xm:sqref>E20:E62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E1C0-A7C2-4B51-AAF8-834500F710F0}">
  <dimension ref="A1:D16"/>
  <sheetViews>
    <sheetView topLeftCell="A5" zoomScale="223" workbookViewId="0">
      <selection activeCell="A10" sqref="A10"/>
    </sheetView>
  </sheetViews>
  <sheetFormatPr baseColWidth="10" defaultRowHeight="15" x14ac:dyDescent="0.2"/>
  <cols>
    <col min="1" max="1" width="21.83203125" bestFit="1" customWidth="1"/>
    <col min="2" max="2" width="21.6640625" customWidth="1"/>
    <col min="3" max="3" width="18.6640625" customWidth="1"/>
    <col min="4" max="4" width="17.83203125" customWidth="1"/>
  </cols>
  <sheetData>
    <row r="1" spans="1:4" x14ac:dyDescent="0.2">
      <c r="A1" s="3" t="s">
        <v>11</v>
      </c>
      <c r="B1" s="3" t="s">
        <v>13</v>
      </c>
      <c r="C1" s="1" t="s">
        <v>15</v>
      </c>
      <c r="D1" s="2"/>
    </row>
    <row r="2" spans="1:4" x14ac:dyDescent="0.2">
      <c r="A2" t="s">
        <v>32</v>
      </c>
      <c r="B2" t="s">
        <v>34</v>
      </c>
      <c r="C2" t="s">
        <v>19</v>
      </c>
    </row>
    <row r="3" spans="1:4" x14ac:dyDescent="0.2">
      <c r="A3" t="s">
        <v>17</v>
      </c>
      <c r="B3" t="s">
        <v>18</v>
      </c>
      <c r="C3" t="s">
        <v>36</v>
      </c>
    </row>
    <row r="4" spans="1:4" x14ac:dyDescent="0.2">
      <c r="A4" t="s">
        <v>33</v>
      </c>
      <c r="B4" t="s">
        <v>35</v>
      </c>
      <c r="C4" t="s">
        <v>37</v>
      </c>
    </row>
    <row r="5" spans="1:4" x14ac:dyDescent="0.2">
      <c r="C5" t="s">
        <v>38</v>
      </c>
    </row>
    <row r="6" spans="1:4" x14ac:dyDescent="0.2">
      <c r="C6" t="s">
        <v>39</v>
      </c>
    </row>
    <row r="7" spans="1:4" x14ac:dyDescent="0.2">
      <c r="C7" t="s">
        <v>40</v>
      </c>
    </row>
    <row r="9" spans="1:4" ht="16" thickBot="1" x14ac:dyDescent="0.25"/>
    <row r="10" spans="1:4" ht="25" thickBot="1" x14ac:dyDescent="0.25">
      <c r="A10" s="38" t="s">
        <v>46</v>
      </c>
      <c r="B10" s="38" t="s">
        <v>47</v>
      </c>
      <c r="C10" s="38" t="s">
        <v>48</v>
      </c>
      <c r="D10" s="38" t="s">
        <v>49</v>
      </c>
    </row>
    <row r="11" spans="1:4" ht="16" thickBot="1" x14ac:dyDescent="0.25">
      <c r="A11" s="38" t="s">
        <v>46</v>
      </c>
      <c r="B11" s="38" t="s">
        <v>50</v>
      </c>
      <c r="C11" s="38" t="s">
        <v>64</v>
      </c>
      <c r="D11" s="38" t="s">
        <v>51</v>
      </c>
    </row>
    <row r="12" spans="1:4" ht="25" thickBot="1" x14ac:dyDescent="0.25">
      <c r="A12" s="38" t="s">
        <v>46</v>
      </c>
      <c r="B12" s="38" t="s">
        <v>52</v>
      </c>
      <c r="C12" s="38" t="s">
        <v>62</v>
      </c>
      <c r="D12" s="38" t="s">
        <v>53</v>
      </c>
    </row>
    <row r="13" spans="1:4" ht="16" thickBot="1" x14ac:dyDescent="0.25">
      <c r="A13" s="38" t="s">
        <v>46</v>
      </c>
      <c r="B13" s="38" t="s">
        <v>54</v>
      </c>
      <c r="C13" s="38" t="s">
        <v>55</v>
      </c>
      <c r="D13" s="38" t="s">
        <v>56</v>
      </c>
    </row>
    <row r="14" spans="1:4" ht="16" thickBot="1" x14ac:dyDescent="0.25">
      <c r="A14" s="38" t="s">
        <v>46</v>
      </c>
      <c r="B14" s="38" t="s">
        <v>57</v>
      </c>
      <c r="C14" s="38" t="s">
        <v>63</v>
      </c>
      <c r="D14" s="38" t="s">
        <v>58</v>
      </c>
    </row>
    <row r="15" spans="1:4" ht="16" thickBot="1" x14ac:dyDescent="0.25">
      <c r="A15" s="38" t="s">
        <v>46</v>
      </c>
      <c r="B15" s="38" t="s">
        <v>59</v>
      </c>
      <c r="C15" s="38" t="s">
        <v>65</v>
      </c>
      <c r="D15" s="38" t="s">
        <v>60</v>
      </c>
    </row>
    <row r="16" spans="1:4" ht="16" thickBot="1" x14ac:dyDescent="0.25">
      <c r="A16" s="38" t="s">
        <v>46</v>
      </c>
      <c r="B16" s="38" t="s">
        <v>61</v>
      </c>
      <c r="C16" s="38" t="s">
        <v>88</v>
      </c>
      <c r="D16" s="38" t="s">
        <v>89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Caja Menor </vt:lpstr>
      <vt:lpstr>Listado</vt:lpstr>
      <vt:lpstr>'Caja Menor '!Área_de_impresión</vt:lpstr>
    </vt:vector>
  </TitlesOfParts>
  <Company>ASERPA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ASERPA SA.</dc:creator>
  <cp:lastModifiedBy>Officer54</cp:lastModifiedBy>
  <cp:lastPrinted>2026-06-23T18:25:59Z</cp:lastPrinted>
  <dcterms:created xsi:type="dcterms:W3CDTF">2013-10-24T19:13:58Z</dcterms:created>
  <dcterms:modified xsi:type="dcterms:W3CDTF">2026-06-23T18:26:02Z</dcterms:modified>
</cp:coreProperties>
</file>