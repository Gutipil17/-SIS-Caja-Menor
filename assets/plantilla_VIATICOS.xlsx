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/>
  <mc:AlternateContent xmlns:mc="http://schemas.openxmlformats.org/markup-compatibility/2006">
    <mc:Choice Requires="x15">
      <x15ac:absPath xmlns:x15ac="http://schemas.microsoft.com/office/spreadsheetml/2010/11/ac" url="/Users/andresgutierrez/Desktop/PRIMERA COMISION SIS/"/>
    </mc:Choice>
  </mc:AlternateContent>
  <xr:revisionPtr revIDLastSave="0" documentId="13_ncr:1_{5CEE0D63-DD40-F34A-9E6E-7DA31BCA1926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Viaticos (V2)" sheetId="6" r:id="rId1"/>
    <sheet name="Lista" sheetId="7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9" i="6" l="1"/>
  <c r="D12" i="6" s="1"/>
  <c r="D13" i="6" s="1"/>
</calcChain>
</file>

<file path=xl/sharedStrings.xml><?xml version="1.0" encoding="utf-8"?>
<sst xmlns="http://schemas.openxmlformats.org/spreadsheetml/2006/main" count="267" uniqueCount="190">
  <si>
    <t>LUGAR Y FECHA</t>
  </si>
  <si>
    <t>OBSERVACIONES (MOTIVO DEL VIAJE)</t>
  </si>
  <si>
    <t>TOTAL</t>
  </si>
  <si>
    <t>FIRMA</t>
  </si>
  <si>
    <t>Vo.Bo.</t>
  </si>
  <si>
    <t>APROBADA</t>
  </si>
  <si>
    <t>CARGUESE</t>
  </si>
  <si>
    <t>INSTRUCCIONES</t>
  </si>
  <si>
    <t>1) Las sumas fijadas para viáticos diarios incluyen alojamiento, comida, representaciones, propinas.</t>
  </si>
  <si>
    <t>3) La contabilidad solo ordenará el pago de esta cuenta cuando la haya recibido debidamente aprobada en su totalidad.</t>
  </si>
  <si>
    <t>4) Para el trámite de la presente cuenta se debe anexar los documentos soportes de los gastos varios, tiquetes y pasabordos utilizados y fotocopia de la primera hoja de informe de actividades.</t>
  </si>
  <si>
    <t>2) Las cuentas de viáticos deberán ser presentadas dentro de los días (10) siguientes a la terminación del viaje. Cuando el viaje se prolongue, deberá presentarse cuentas parciales el último día de cada mes.</t>
  </si>
  <si>
    <t>Paginas: 01</t>
  </si>
  <si>
    <t>VIATICOS</t>
  </si>
  <si>
    <t xml:space="preserve">CONCEPTO </t>
  </si>
  <si>
    <t>DOCUMENTO SOPORTE</t>
  </si>
  <si>
    <t xml:space="preserve">FECHA </t>
  </si>
  <si>
    <t>PERIODO</t>
  </si>
  <si>
    <t>CIUDAD DEL GASTO</t>
  </si>
  <si>
    <t>Documento</t>
  </si>
  <si>
    <t>Factura</t>
  </si>
  <si>
    <t>Recibo de Caja</t>
  </si>
  <si>
    <t>Cuenta de Cobro</t>
  </si>
  <si>
    <t>Concepto</t>
  </si>
  <si>
    <t>Alimentos (Comidas/Bebidas)</t>
  </si>
  <si>
    <t>Lavanderia</t>
  </si>
  <si>
    <t>Transporte</t>
  </si>
  <si>
    <t>Otros</t>
  </si>
  <si>
    <t>Cedula de Ciudadania</t>
  </si>
  <si>
    <t>Cedula Extranjería</t>
  </si>
  <si>
    <t>NIT/RUT</t>
  </si>
  <si>
    <t>AREA:</t>
  </si>
  <si>
    <t>NOMBRE:</t>
  </si>
  <si>
    <t>CARGO:</t>
  </si>
  <si>
    <t>TARJETA PEOPLE PASS:</t>
  </si>
  <si>
    <t>Gastos Viaticos</t>
  </si>
  <si>
    <t>Saldo Final:</t>
  </si>
  <si>
    <t>Saldo Inicial:</t>
  </si>
  <si>
    <t>NOMBRE TERCERO</t>
  </si>
  <si>
    <t>TIPO ID</t>
  </si>
  <si>
    <t>NUMERO ID</t>
  </si>
  <si>
    <t>SCOF01</t>
  </si>
  <si>
    <t>VERSIÓN No:002</t>
  </si>
  <si>
    <t>FECHA: 2025-06-19</t>
  </si>
  <si>
    <t>Viaticos</t>
  </si>
  <si>
    <t>VT-SIS-01</t>
  </si>
  <si>
    <t>10415973***0865</t>
  </si>
  <si>
    <t>DANIEL COLMENARES RINCON</t>
  </si>
  <si>
    <t>VT-SIS-02</t>
  </si>
  <si>
    <t>VT-SIS-03</t>
  </si>
  <si>
    <t>MARCO TULIO CARDENAS DIAZ</t>
  </si>
  <si>
    <t>VT-SIS-04</t>
  </si>
  <si>
    <t>MAURICIO VILLEGAS GOMEZ</t>
  </si>
  <si>
    <t>VT-SIS-05</t>
  </si>
  <si>
    <t>LAWRENCE BARBERI BERMUDEZ</t>
  </si>
  <si>
    <t>VT-SIS-06</t>
  </si>
  <si>
    <t>CESAR ANDRES GOMEZ DIAZ</t>
  </si>
  <si>
    <t>VT-SIS-07</t>
  </si>
  <si>
    <t>CRISTIAN CAMILO CARDENAS DIAZ</t>
  </si>
  <si>
    <t>VT-SIS-08</t>
  </si>
  <si>
    <t>ANDRES CORREA GIRALDO</t>
  </si>
  <si>
    <t>VT-SIS-09</t>
  </si>
  <si>
    <t>VT-SIS-10</t>
  </si>
  <si>
    <t>MAURICIO BUENO PLAZA</t>
  </si>
  <si>
    <t>VT-SIS-11</t>
  </si>
  <si>
    <t>10415983***0699</t>
  </si>
  <si>
    <t>LUIS FELIPE GOMEZ RAMIREZ</t>
  </si>
  <si>
    <t>VT-SIS-12</t>
  </si>
  <si>
    <t>VT-SIS-13</t>
  </si>
  <si>
    <t>ROBERTO CARLOS RESTREPO GALLO</t>
  </si>
  <si>
    <t>VT-SIS-14</t>
  </si>
  <si>
    <t>MAURICIO FERNANDO VARGAS MAJE</t>
  </si>
  <si>
    <t>VT-SIS-15</t>
  </si>
  <si>
    <t>VT-SIS-16</t>
  </si>
  <si>
    <t>CARLOS JULIO HERNANDEZ MUÑOZ</t>
  </si>
  <si>
    <t>VT-SIS-17</t>
  </si>
  <si>
    <t>PEDRO JAVIER GONZALEZ</t>
  </si>
  <si>
    <t>VT-SIS-18</t>
  </si>
  <si>
    <t>VT-SIS-19</t>
  </si>
  <si>
    <t>JOSE DARIO GONZALEZ</t>
  </si>
  <si>
    <t>VT-SIS-20</t>
  </si>
  <si>
    <t>VICTOR MANUEL DÍAZ</t>
  </si>
  <si>
    <t>VT-SIS-21</t>
  </si>
  <si>
    <t>ALEJANDRO CARDENAS</t>
  </si>
  <si>
    <t>VT-SIS-22</t>
  </si>
  <si>
    <t>HELEODORO VILLAMIZAR</t>
  </si>
  <si>
    <t>VT-SIS-23</t>
  </si>
  <si>
    <t>JOSUE GARCIA</t>
  </si>
  <si>
    <t>VT-SIS-24</t>
  </si>
  <si>
    <t>OSCAR LOPEZ BOLAÑOS</t>
  </si>
  <si>
    <t>VT-SIS-25</t>
  </si>
  <si>
    <t>SANDRA SANCHEZ</t>
  </si>
  <si>
    <t>VT-SIS-26</t>
  </si>
  <si>
    <t>JHON JAIRO OLAYA CORDOBA</t>
  </si>
  <si>
    <t>VT-SIS-27</t>
  </si>
  <si>
    <t>VT-SIS-28</t>
  </si>
  <si>
    <t>VT-SIS-29</t>
  </si>
  <si>
    <t>10415996***0920</t>
  </si>
  <si>
    <t>10415991***1214</t>
  </si>
  <si>
    <t>10415999***2714</t>
  </si>
  <si>
    <t>10415987***3175</t>
  </si>
  <si>
    <t>10415997***3572</t>
  </si>
  <si>
    <t>10415976***3877</t>
  </si>
  <si>
    <t>10415984***4074</t>
  </si>
  <si>
    <t>10415979***4075</t>
  </si>
  <si>
    <t>10415982***4880</t>
  </si>
  <si>
    <t>10416001***5571</t>
  </si>
  <si>
    <t>10415998***5756</t>
  </si>
  <si>
    <t>10415975***6558</t>
  </si>
  <si>
    <t>10415985***6655</t>
  </si>
  <si>
    <t>10415977***6664</t>
  </si>
  <si>
    <t>10415989***6752</t>
  </si>
  <si>
    <t>10415994***7532</t>
  </si>
  <si>
    <t>10415992***7861</t>
  </si>
  <si>
    <t>10415990***8433</t>
  </si>
  <si>
    <t>10415993***8447</t>
  </si>
  <si>
    <t>10415988***8730</t>
  </si>
  <si>
    <t>10415978***9037</t>
  </si>
  <si>
    <t>10416000***9489</t>
  </si>
  <si>
    <t>10415980***9793</t>
  </si>
  <si>
    <t>10415995***9916</t>
  </si>
  <si>
    <t>Tripulacion</t>
  </si>
  <si>
    <t>Administrativo</t>
  </si>
  <si>
    <t>Piloto</t>
  </si>
  <si>
    <t>Copiloto</t>
  </si>
  <si>
    <t xml:space="preserve">Ing de Vuelo </t>
  </si>
  <si>
    <t>Load Master</t>
  </si>
  <si>
    <t>Presidencia</t>
  </si>
  <si>
    <t>Talento Humano</t>
  </si>
  <si>
    <t>Aseguramiento</t>
  </si>
  <si>
    <t>Caja Menor</t>
  </si>
  <si>
    <t>CM-SIS-01</t>
  </si>
  <si>
    <t>10415966***3202</t>
  </si>
  <si>
    <t>CM-SIS-02</t>
  </si>
  <si>
    <t>10415967***7188</t>
  </si>
  <si>
    <t>CM-SIS-03</t>
  </si>
  <si>
    <t>10415968***4514</t>
  </si>
  <si>
    <t>CM-SIS-04</t>
  </si>
  <si>
    <t>10415969***0797</t>
  </si>
  <si>
    <t>CM-SIS-05</t>
  </si>
  <si>
    <t>10415970***6008</t>
  </si>
  <si>
    <t>CM-SIS-06</t>
  </si>
  <si>
    <t>10415971***7309</t>
  </si>
  <si>
    <t>ORLANDO VANEGAS SOLARTE</t>
  </si>
  <si>
    <t>10415986***9522</t>
  </si>
  <si>
    <t>MARIA ALEJANDRA CHAMORRO</t>
  </si>
  <si>
    <t>Comercial</t>
  </si>
  <si>
    <t>10415981***7706</t>
  </si>
  <si>
    <t>CM-SIS-07</t>
  </si>
  <si>
    <t>104159972***3571</t>
  </si>
  <si>
    <t>104159974***8313</t>
  </si>
  <si>
    <t>VT-SIS-30</t>
  </si>
  <si>
    <t>10475245***1205</t>
  </si>
  <si>
    <t>VT-SIS-31</t>
  </si>
  <si>
    <t>VT-SIS-32</t>
  </si>
  <si>
    <t>10475247***9363</t>
  </si>
  <si>
    <t>YULI LILIANA LINARES PINEDA</t>
  </si>
  <si>
    <t>VT-SIS-33</t>
  </si>
  <si>
    <t>VT-SIS-34</t>
  </si>
  <si>
    <t>Sin Custodio</t>
  </si>
  <si>
    <t>10475246***7697</t>
  </si>
  <si>
    <t>ALAJANDRO MONTOYA</t>
  </si>
  <si>
    <t>10475248***3630</t>
  </si>
  <si>
    <t>JULIANA ANDREA RIOS</t>
  </si>
  <si>
    <t>EDWARD ENRIQUE RUBIO RUBIO</t>
  </si>
  <si>
    <t>WILLIAM CASTILLO</t>
  </si>
  <si>
    <t>SEBASTIAN PLATA</t>
  </si>
  <si>
    <t>ELIZABETH LOPEZ BOLAÑOS</t>
  </si>
  <si>
    <t>JOSE FERNANDO RENDON</t>
  </si>
  <si>
    <t>GUILLERMO BERNAL</t>
  </si>
  <si>
    <t>10475249***3310</t>
  </si>
  <si>
    <t>Bono Seguridad</t>
  </si>
  <si>
    <t>NA</t>
  </si>
  <si>
    <t xml:space="preserve"> NIT/RUT </t>
  </si>
  <si>
    <t>CUCUTA</t>
  </si>
  <si>
    <t xml:space="preserve">CAJICA </t>
  </si>
  <si>
    <t>CHIA</t>
  </si>
  <si>
    <t xml:space="preserve">CREPS &amp; WAFLES </t>
  </si>
  <si>
    <t>EDS ALCAZAR</t>
  </si>
  <si>
    <t xml:space="preserve">CUCUTA </t>
  </si>
  <si>
    <t xml:space="preserve">HOTEL IBIS CUCUTA </t>
  </si>
  <si>
    <t xml:space="preserve">PAULO GARCIAS </t>
  </si>
  <si>
    <t xml:space="preserve">ANDRES GUTIERREZ </t>
  </si>
  <si>
    <t>17 DE FEBRERO AL 22 DE FEBRERO</t>
  </si>
  <si>
    <t xml:space="preserve">CHIA </t>
  </si>
  <si>
    <t>MC DONALDS</t>
  </si>
  <si>
    <t>44959310***9708</t>
  </si>
  <si>
    <t xml:space="preserve">ANDRES EDUARDO GUTIERREZ BECERRA </t>
  </si>
  <si>
    <t>VT-SIS-35</t>
  </si>
  <si>
    <t>CUCUTA 22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</si>
</sst>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&quot;$&quot;\ #,##0_);[Red]\(&quot;$&quot;\ #,##0\)"/>
    <numFmt numFmtId="167" formatCode="_-&quot;$&quot;* #,##0_-;\-&quot;$&quot;* #,##0_-;_-&quot;$&quot;* &quot;-&quot;??_-;_-@_-"/>
  </numFmts>
  <fonts count="13" x14ac:knownFonts="1">
    <font>
      <sz val="10"/>
      <name val="Arial"/>
    </font>
    <font>
      <sz val="10"/>
      <name val="Arial"/>
      <family val="2"/>
    </font>
    <font>
      <b/>
      <sz val="2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8"/>
      <name val="Calibri"/>
      <family val="2"/>
    </font>
    <font>
      <b/>
      <sz val="8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2" xfId="0" applyFont="1" applyBorder="1"/>
    <xf numFmtId="0" fontId="3" fillId="0" borderId="2" xfId="0" applyFont="1" applyBorder="1"/>
    <xf numFmtId="0" fontId="3" fillId="0" borderId="11" xfId="0" applyFont="1" applyBorder="1"/>
    <xf numFmtId="0" fontId="6" fillId="0" borderId="0" xfId="0" applyFont="1" applyAlignment="1">
      <alignment horizontal="left"/>
    </xf>
    <xf numFmtId="0" fontId="7" fillId="0" borderId="0" xfId="0" applyFont="1"/>
    <xf numFmtId="0" fontId="4" fillId="0" borderId="0" xfId="0" applyFont="1"/>
    <xf numFmtId="41" fontId="3" fillId="0" borderId="2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1" fontId="3" fillId="0" borderId="22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7" fontId="3" fillId="0" borderId="23" xfId="1" applyNumberFormat="1" applyFont="1" applyBorder="1" applyAlignment="1">
      <alignment vertical="center"/>
    </xf>
    <xf numFmtId="167" fontId="3" fillId="0" borderId="24" xfId="1" applyNumberFormat="1" applyFont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0" fillId="2" borderId="11" xfId="0" applyFill="1" applyBorder="1"/>
    <xf numFmtId="0" fontId="4" fillId="2" borderId="13" xfId="0" applyFont="1" applyFill="1" applyBorder="1" applyAlignment="1">
      <alignment horizontal="right"/>
    </xf>
    <xf numFmtId="0" fontId="3" fillId="2" borderId="0" xfId="0" applyFont="1" applyFill="1"/>
    <xf numFmtId="0" fontId="0" fillId="2" borderId="14" xfId="0" applyFill="1" applyBorder="1"/>
    <xf numFmtId="0" fontId="3" fillId="2" borderId="1" xfId="0" applyFont="1" applyFill="1" applyBorder="1" applyAlignment="1">
      <alignment horizontal="center"/>
    </xf>
    <xf numFmtId="0" fontId="0" fillId="2" borderId="16" xfId="0" applyFill="1" applyBorder="1"/>
    <xf numFmtId="0" fontId="0" fillId="2" borderId="15" xfId="0" applyFill="1" applyBorder="1"/>
    <xf numFmtId="0" fontId="0" fillId="2" borderId="1" xfId="0" applyFill="1" applyBorder="1"/>
    <xf numFmtId="0" fontId="10" fillId="0" borderId="25" xfId="0" applyFont="1" applyBorder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21" xfId="0" applyFont="1" applyFill="1" applyBorder="1"/>
    <xf numFmtId="164" fontId="9" fillId="2" borderId="12" xfId="2" applyFont="1" applyFill="1" applyBorder="1" applyAlignment="1">
      <alignment horizontal="center"/>
    </xf>
    <xf numFmtId="0" fontId="9" fillId="2" borderId="7" xfId="0" applyFont="1" applyFill="1" applyBorder="1"/>
    <xf numFmtId="164" fontId="9" fillId="2" borderId="8" xfId="2" applyFont="1" applyFill="1" applyBorder="1" applyAlignment="1">
      <alignment horizontal="center"/>
    </xf>
    <xf numFmtId="0" fontId="1" fillId="0" borderId="0" xfId="0" applyFont="1"/>
    <xf numFmtId="0" fontId="11" fillId="0" borderId="0" xfId="0" applyFont="1" applyAlignment="1">
      <alignment horizontal="left"/>
    </xf>
    <xf numFmtId="41" fontId="3" fillId="0" borderId="26" xfId="0" applyNumberFormat="1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1" fontId="3" fillId="0" borderId="29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166" fontId="3" fillId="0" borderId="35" xfId="0" applyNumberFormat="1" applyFont="1" applyBorder="1" applyAlignment="1">
      <alignment horizontal="center" vertical="center"/>
    </xf>
    <xf numFmtId="41" fontId="3" fillId="0" borderId="29" xfId="0" applyNumberFormat="1" applyFont="1" applyBorder="1" applyAlignment="1">
      <alignment horizontal="right" vertical="center"/>
    </xf>
    <xf numFmtId="41" fontId="3" fillId="0" borderId="20" xfId="0" applyNumberFormat="1" applyFont="1" applyBorder="1" applyAlignment="1">
      <alignment horizontal="right" vertical="center"/>
    </xf>
    <xf numFmtId="0" fontId="5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4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22" xfId="0" applyFont="1" applyBorder="1" applyAlignment="1">
      <alignment horizontal="center" vertical="center"/>
    </xf>
    <xf numFmtId="0" fontId="10" fillId="0" borderId="36" xfId="0" applyFont="1" applyFill="1" applyBorder="1" applyAlignment="1">
      <alignment vertical="center" wrapText="1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654050</xdr:colOff>
      <xdr:row>0</xdr:row>
      <xdr:rowOff>260350</xdr:rowOff>
    </xdr:from>
    <xdr:to>
      <xdr:col>2</xdr:col>
      <xdr:colOff>2038350</xdr:colOff>
      <xdr:row>2</xdr:row>
      <xdr:rowOff>106598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CF112B-5045-7CE4-DC54-FCFEC13D0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260350"/>
          <a:ext cx="1460500" cy="614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E8F2-7A08-4F5A-8E90-A42FC9B55132}">
  <sheetPr>
    <pageSetUpPr fitToPage="1"/>
  </sheetPr>
  <dimension ref="C1:L65"/>
  <sheetViews>
    <sheetView tabSelected="1" zoomScale="89" zoomScaleNormal="100" workbookViewId="0">
      <selection activeCell="G32" sqref="G32"/>
    </sheetView>
  </sheetViews>
  <sheetFormatPr baseColWidth="10" defaultRowHeight="13" x14ac:dyDescent="0.15"/>
  <cols>
    <col min="3" max="3" width="34.6640625" customWidth="1"/>
    <col min="4" max="4" width="22.5" customWidth="1"/>
    <col min="5" max="6" width="24.5" customWidth="1"/>
    <col min="7" max="7" width="22.5" customWidth="1"/>
    <col min="8" max="8" width="18.83203125" customWidth="1"/>
    <col min="9" max="9" width="17.83203125" bestFit="1" customWidth="1"/>
    <col min="10" max="10" width="14" customWidth="1"/>
    <col min="11" max="11" width="17.6640625" customWidth="1"/>
    <col min="12" max="12" width="30.6640625" customWidth="1"/>
  </cols>
  <sheetData>
    <row r="1" spans="3:11" ht="45.5" customHeight="1" x14ac:dyDescent="0.15">
      <c r="C1" s="51" t="s">
        <v>13</v>
      </c>
      <c r="D1" s="51"/>
      <c r="E1" s="51"/>
      <c r="F1" s="51"/>
      <c r="G1" s="51"/>
      <c r="H1" s="51"/>
      <c r="I1" s="51"/>
      <c r="J1" s="21" t="s">
        <v>41</v>
      </c>
      <c r="K1" s="21" t="s">
        <v>42</v>
      </c>
    </row>
    <row r="2" spans="3:11" ht="15" customHeight="1" x14ac:dyDescent="0.15">
      <c r="C2" s="51"/>
      <c r="D2" s="51"/>
      <c r="E2" s="51"/>
      <c r="F2" s="51"/>
      <c r="G2" s="51"/>
      <c r="H2" s="51"/>
      <c r="I2" s="51"/>
      <c r="J2" s="50" t="s">
        <v>43</v>
      </c>
      <c r="K2" s="50"/>
    </row>
    <row r="3" spans="3:11" ht="15" customHeight="1" x14ac:dyDescent="0.15">
      <c r="C3" s="51"/>
      <c r="D3" s="51"/>
      <c r="E3" s="51"/>
      <c r="F3" s="51"/>
      <c r="G3" s="51"/>
      <c r="H3" s="51"/>
      <c r="I3" s="51"/>
      <c r="J3" s="50" t="s">
        <v>12</v>
      </c>
      <c r="K3" s="50"/>
    </row>
    <row r="4" spans="3:11" ht="15" customHeight="1" x14ac:dyDescent="0.15">
      <c r="C4" s="22"/>
      <c r="D4" s="22"/>
      <c r="E4" s="22"/>
      <c r="F4" s="22"/>
      <c r="G4" s="22"/>
      <c r="H4" s="22"/>
      <c r="I4" s="22"/>
      <c r="J4" s="23"/>
      <c r="K4" s="23"/>
    </row>
    <row r="5" spans="3:11" ht="14" thickBot="1" x14ac:dyDescent="0.2">
      <c r="C5" s="2" t="s">
        <v>0</v>
      </c>
      <c r="D5" s="56" t="s">
        <v>189</v>
      </c>
      <c r="E5" s="56"/>
      <c r="F5" s="3"/>
      <c r="G5" s="1"/>
      <c r="H5" s="1"/>
      <c r="I5" s="2" t="s">
        <v>32</v>
      </c>
      <c r="J5" s="54" t="s">
        <v>187</v>
      </c>
      <c r="K5" s="54"/>
    </row>
    <row r="6" spans="3:11" ht="14" thickBot="1" x14ac:dyDescent="0.2">
      <c r="C6" s="3"/>
      <c r="D6" s="1"/>
      <c r="E6" s="1"/>
      <c r="F6" s="1"/>
      <c r="G6" s="1"/>
      <c r="H6" s="1"/>
      <c r="I6" s="2" t="s">
        <v>31</v>
      </c>
      <c r="J6" s="55" t="s">
        <v>121</v>
      </c>
      <c r="K6" s="55"/>
    </row>
    <row r="7" spans="3:11" ht="14" thickBot="1" x14ac:dyDescent="0.2">
      <c r="C7" s="10" t="s">
        <v>17</v>
      </c>
      <c r="D7" s="56" t="s">
        <v>183</v>
      </c>
      <c r="E7" s="56"/>
      <c r="F7" s="13"/>
      <c r="G7" s="10"/>
      <c r="H7" s="10"/>
      <c r="I7" s="2" t="s">
        <v>33</v>
      </c>
      <c r="J7" s="55" t="s">
        <v>124</v>
      </c>
      <c r="K7" s="55"/>
    </row>
    <row r="8" spans="3:11" x14ac:dyDescent="0.15">
      <c r="C8" s="10"/>
      <c r="D8" s="13"/>
      <c r="E8" s="13"/>
      <c r="F8" s="13"/>
      <c r="G8" s="10"/>
      <c r="H8" s="10"/>
      <c r="I8" s="2"/>
      <c r="J8" s="12"/>
    </row>
    <row r="9" spans="3:11" ht="14" thickBot="1" x14ac:dyDescent="0.2">
      <c r="C9" s="10"/>
      <c r="D9" s="13"/>
      <c r="E9" s="13"/>
      <c r="F9" s="13"/>
      <c r="G9" s="10"/>
      <c r="H9" s="10"/>
      <c r="I9" s="2"/>
      <c r="J9" s="12"/>
    </row>
    <row r="10" spans="3:11" ht="18" x14ac:dyDescent="0.2">
      <c r="C10" s="35" t="s">
        <v>34</v>
      </c>
      <c r="D10" s="36" t="s">
        <v>186</v>
      </c>
      <c r="E10" s="42"/>
      <c r="F10" s="13"/>
      <c r="G10" s="10"/>
      <c r="H10" s="10"/>
      <c r="I10" s="2"/>
      <c r="J10" s="12"/>
    </row>
    <row r="11" spans="3:11" ht="18" x14ac:dyDescent="0.2">
      <c r="C11" s="37" t="s">
        <v>37</v>
      </c>
      <c r="D11" s="38">
        <v>2310000</v>
      </c>
      <c r="E11" s="13"/>
      <c r="F11" s="13"/>
      <c r="G11" s="10"/>
      <c r="H11" s="10"/>
      <c r="I11" s="2"/>
      <c r="J11" s="12"/>
    </row>
    <row r="12" spans="3:11" ht="18" x14ac:dyDescent="0.2">
      <c r="C12" s="37" t="s">
        <v>35</v>
      </c>
      <c r="D12" s="38">
        <f>+K49</f>
        <v>2130000</v>
      </c>
      <c r="E12" s="13"/>
      <c r="F12" s="13"/>
      <c r="G12" s="10"/>
      <c r="H12" s="10"/>
      <c r="I12" s="2"/>
      <c r="J12" s="12"/>
    </row>
    <row r="13" spans="3:11" ht="19" thickBot="1" x14ac:dyDescent="0.25">
      <c r="C13" s="39" t="s">
        <v>36</v>
      </c>
      <c r="D13" s="40">
        <f>+D11-D12</f>
        <v>180000</v>
      </c>
      <c r="E13" s="13"/>
      <c r="F13" s="13"/>
      <c r="G13" s="10"/>
      <c r="H13" s="10"/>
      <c r="I13" s="2"/>
      <c r="J13" s="12"/>
    </row>
    <row r="14" spans="3:11" x14ac:dyDescent="0.15">
      <c r="C14" s="10"/>
      <c r="D14" s="13"/>
      <c r="E14" s="13"/>
      <c r="F14" s="13"/>
      <c r="G14" s="10"/>
      <c r="H14" s="10"/>
      <c r="I14" s="2"/>
      <c r="J14" s="12"/>
    </row>
    <row r="15" spans="3:11" x14ac:dyDescent="0.15">
      <c r="C15" s="10"/>
      <c r="D15" s="13"/>
      <c r="E15" s="13"/>
      <c r="F15" s="13"/>
      <c r="G15" s="10"/>
      <c r="H15" s="10"/>
      <c r="I15" s="2"/>
      <c r="J15" s="12"/>
    </row>
    <row r="16" spans="3:11" ht="14" thickBot="1" x14ac:dyDescent="0.2">
      <c r="C16" s="3"/>
      <c r="D16" s="1"/>
      <c r="E16" s="1"/>
      <c r="F16" s="1"/>
      <c r="G16" s="1"/>
      <c r="H16" s="1"/>
      <c r="I16" s="1"/>
      <c r="J16" s="1"/>
      <c r="K16" s="1"/>
    </row>
    <row r="17" spans="3:11" x14ac:dyDescent="0.15">
      <c r="C17" s="61" t="s">
        <v>16</v>
      </c>
      <c r="D17" s="52" t="s">
        <v>18</v>
      </c>
      <c r="E17" s="52" t="s">
        <v>15</v>
      </c>
      <c r="F17" s="52" t="s">
        <v>38</v>
      </c>
      <c r="G17" s="52" t="s">
        <v>39</v>
      </c>
      <c r="H17" s="52" t="s">
        <v>40</v>
      </c>
      <c r="I17" s="57" t="s">
        <v>14</v>
      </c>
      <c r="J17" s="58"/>
      <c r="K17" s="52" t="s">
        <v>2</v>
      </c>
    </row>
    <row r="18" spans="3:11" ht="14" thickBot="1" x14ac:dyDescent="0.2">
      <c r="C18" s="62"/>
      <c r="D18" s="53"/>
      <c r="E18" s="67"/>
      <c r="F18" s="53"/>
      <c r="G18" s="53"/>
      <c r="H18" s="53"/>
      <c r="I18" s="59"/>
      <c r="J18" s="60"/>
      <c r="K18" s="53"/>
    </row>
    <row r="19" spans="3:11" x14ac:dyDescent="0.15">
      <c r="C19" s="46">
        <v>46187</v>
      </c>
      <c r="D19" s="45" t="s">
        <v>176</v>
      </c>
      <c r="E19" s="43" t="s">
        <v>20</v>
      </c>
      <c r="F19" s="45" t="s">
        <v>177</v>
      </c>
      <c r="G19" s="45" t="s">
        <v>173</v>
      </c>
      <c r="H19" s="48">
        <v>860076919</v>
      </c>
      <c r="I19" s="78" t="s">
        <v>24</v>
      </c>
      <c r="J19" s="79"/>
      <c r="K19" s="47">
        <v>176010</v>
      </c>
    </row>
    <row r="20" spans="3:11" x14ac:dyDescent="0.15">
      <c r="C20" s="44">
        <v>46186</v>
      </c>
      <c r="D20" s="11" t="s">
        <v>175</v>
      </c>
      <c r="E20" s="11" t="s">
        <v>20</v>
      </c>
      <c r="F20" s="11" t="s">
        <v>178</v>
      </c>
      <c r="G20" s="11" t="s">
        <v>173</v>
      </c>
      <c r="H20" s="49">
        <v>901300741</v>
      </c>
      <c r="I20" s="64" t="s">
        <v>26</v>
      </c>
      <c r="J20" s="65"/>
      <c r="K20" s="15">
        <v>267794</v>
      </c>
    </row>
    <row r="21" spans="3:11" x14ac:dyDescent="0.15">
      <c r="C21" s="44">
        <v>46194</v>
      </c>
      <c r="D21" s="11" t="s">
        <v>179</v>
      </c>
      <c r="E21" s="11" t="s">
        <v>21</v>
      </c>
      <c r="F21" s="11" t="s">
        <v>180</v>
      </c>
      <c r="G21" s="11" t="s">
        <v>30</v>
      </c>
      <c r="H21" s="49">
        <v>806000591</v>
      </c>
      <c r="I21" s="64" t="s">
        <v>24</v>
      </c>
      <c r="J21" s="65"/>
      <c r="K21" s="15">
        <v>46000</v>
      </c>
    </row>
    <row r="22" spans="3:11" ht="14.25" customHeight="1" x14ac:dyDescent="0.15">
      <c r="C22" s="44">
        <v>46195</v>
      </c>
      <c r="D22" s="11" t="s">
        <v>174</v>
      </c>
      <c r="E22" s="11" t="s">
        <v>21</v>
      </c>
      <c r="F22" s="11" t="s">
        <v>181</v>
      </c>
      <c r="G22" s="11" t="s">
        <v>28</v>
      </c>
      <c r="H22" s="49">
        <v>10500000</v>
      </c>
      <c r="I22" s="64" t="s">
        <v>24</v>
      </c>
      <c r="J22" s="65"/>
      <c r="K22" s="15">
        <v>1050000</v>
      </c>
    </row>
    <row r="23" spans="3:11" x14ac:dyDescent="0.15">
      <c r="C23" s="44">
        <v>46195</v>
      </c>
      <c r="D23" s="11" t="s">
        <v>174</v>
      </c>
      <c r="E23" s="11" t="s">
        <v>171</v>
      </c>
      <c r="F23" s="11" t="s">
        <v>182</v>
      </c>
      <c r="G23" s="11" t="s">
        <v>28</v>
      </c>
      <c r="H23" s="49">
        <v>80179356</v>
      </c>
      <c r="I23" s="64" t="s">
        <v>171</v>
      </c>
      <c r="J23" s="65"/>
      <c r="K23" s="15">
        <v>480000</v>
      </c>
    </row>
    <row r="24" spans="3:11" x14ac:dyDescent="0.15">
      <c r="C24" s="44">
        <v>46195</v>
      </c>
      <c r="D24" s="11" t="s">
        <v>184</v>
      </c>
      <c r="E24" s="11" t="s">
        <v>20</v>
      </c>
      <c r="F24" s="11" t="s">
        <v>185</v>
      </c>
      <c r="G24" s="11" t="s">
        <v>30</v>
      </c>
      <c r="H24" s="49">
        <v>800244387</v>
      </c>
      <c r="I24" s="64" t="s">
        <v>24</v>
      </c>
      <c r="J24" s="65"/>
      <c r="K24" s="15">
        <v>97760</v>
      </c>
    </row>
    <row r="25" spans="3:11" x14ac:dyDescent="0.15">
      <c r="C25" s="44">
        <v>46195</v>
      </c>
      <c r="D25" s="11" t="s">
        <v>174</v>
      </c>
      <c r="E25" s="11" t="s">
        <v>20</v>
      </c>
      <c r="F25" s="11" t="s">
        <v>182</v>
      </c>
      <c r="G25" s="11" t="s">
        <v>28</v>
      </c>
      <c r="H25" s="49">
        <v>80179356</v>
      </c>
      <c r="I25" s="64" t="s">
        <v>24</v>
      </c>
      <c r="J25" s="65"/>
      <c r="K25" s="15">
        <v>12436</v>
      </c>
    </row>
    <row r="26" spans="3:11" x14ac:dyDescent="0.15">
      <c r="C26" s="44"/>
      <c r="D26" s="11"/>
      <c r="E26" s="11"/>
      <c r="F26" s="11"/>
      <c r="G26" s="11"/>
      <c r="H26" s="49"/>
      <c r="I26" s="64"/>
      <c r="J26" s="65"/>
      <c r="K26" s="15"/>
    </row>
    <row r="27" spans="3:11" x14ac:dyDescent="0.15">
      <c r="C27" s="44"/>
      <c r="D27" s="11"/>
      <c r="E27" s="11"/>
      <c r="F27" s="11"/>
      <c r="G27" s="11"/>
      <c r="H27" s="49"/>
      <c r="I27" s="64"/>
      <c r="J27" s="65"/>
      <c r="K27" s="15"/>
    </row>
    <row r="28" spans="3:11" x14ac:dyDescent="0.15">
      <c r="C28" s="44"/>
      <c r="D28" s="11"/>
      <c r="E28" s="11"/>
      <c r="F28" s="11"/>
      <c r="G28" s="11"/>
      <c r="H28" s="49"/>
      <c r="I28" s="64"/>
      <c r="J28" s="65"/>
      <c r="K28" s="15"/>
    </row>
    <row r="29" spans="3:11" x14ac:dyDescent="0.15">
      <c r="C29" s="44"/>
      <c r="D29" s="11"/>
      <c r="E29" s="11"/>
      <c r="F29" s="11"/>
      <c r="G29" s="11"/>
      <c r="H29" s="49"/>
      <c r="I29" s="64"/>
      <c r="J29" s="65"/>
      <c r="K29" s="15"/>
    </row>
    <row r="30" spans="3:11" x14ac:dyDescent="0.15">
      <c r="C30" s="44"/>
      <c r="D30" s="11"/>
      <c r="E30" s="11"/>
      <c r="F30" s="11"/>
      <c r="G30" s="11"/>
      <c r="H30" s="11"/>
      <c r="I30" s="64"/>
      <c r="J30" s="65"/>
      <c r="K30" s="15"/>
    </row>
    <row r="31" spans="3:11" x14ac:dyDescent="0.15">
      <c r="C31" s="44"/>
      <c r="D31" s="11"/>
      <c r="E31" s="11"/>
      <c r="F31" s="11"/>
      <c r="G31" s="11"/>
      <c r="H31" s="11"/>
      <c r="I31" s="64"/>
      <c r="J31" s="65"/>
      <c r="K31" s="15"/>
    </row>
    <row r="32" spans="3:11" x14ac:dyDescent="0.15">
      <c r="C32" s="44"/>
      <c r="D32" s="11"/>
      <c r="E32" s="11"/>
      <c r="F32" s="11"/>
      <c r="G32" s="11"/>
      <c r="H32" s="11"/>
      <c r="I32" s="64"/>
      <c r="J32" s="65"/>
      <c r="K32" s="15"/>
    </row>
    <row r="33" spans="3:11" x14ac:dyDescent="0.15">
      <c r="C33" s="44"/>
      <c r="D33" s="11"/>
      <c r="E33" s="11"/>
      <c r="F33" s="11"/>
      <c r="G33" s="11"/>
      <c r="H33" s="11"/>
      <c r="I33" s="64"/>
      <c r="J33" s="65"/>
      <c r="K33" s="15"/>
    </row>
    <row r="34" spans="3:11" x14ac:dyDescent="0.15">
      <c r="C34" s="14"/>
      <c r="D34" s="11"/>
      <c r="E34" s="11"/>
      <c r="F34" s="11"/>
      <c r="G34" s="11"/>
      <c r="H34" s="11"/>
      <c r="I34" s="63"/>
      <c r="J34" s="63"/>
      <c r="K34" s="15"/>
    </row>
    <row r="35" spans="3:11" x14ac:dyDescent="0.15">
      <c r="C35" s="14"/>
      <c r="D35" s="11"/>
      <c r="E35" s="11"/>
      <c r="F35" s="11"/>
      <c r="G35" s="11"/>
      <c r="H35" s="11"/>
      <c r="I35" s="63"/>
      <c r="J35" s="63"/>
      <c r="K35" s="15"/>
    </row>
    <row r="36" spans="3:11" x14ac:dyDescent="0.15">
      <c r="C36" s="14"/>
      <c r="D36" s="11"/>
      <c r="E36" s="11"/>
      <c r="F36" s="11"/>
      <c r="G36" s="11"/>
      <c r="H36" s="11"/>
      <c r="I36" s="63"/>
      <c r="J36" s="63"/>
      <c r="K36" s="15"/>
    </row>
    <row r="37" spans="3:11" x14ac:dyDescent="0.15">
      <c r="C37" s="14"/>
      <c r="D37" s="11"/>
      <c r="E37" s="11"/>
      <c r="F37" s="11"/>
      <c r="G37" s="11"/>
      <c r="H37" s="11"/>
      <c r="I37" s="63"/>
      <c r="J37" s="63"/>
      <c r="K37" s="15"/>
    </row>
    <row r="38" spans="3:11" x14ac:dyDescent="0.15">
      <c r="C38" s="14"/>
      <c r="D38" s="11"/>
      <c r="E38" s="11"/>
      <c r="F38" s="11"/>
      <c r="G38" s="11"/>
      <c r="H38" s="11"/>
      <c r="I38" s="63"/>
      <c r="J38" s="63"/>
      <c r="K38" s="15"/>
    </row>
    <row r="39" spans="3:11" x14ac:dyDescent="0.15">
      <c r="C39" s="14"/>
      <c r="D39" s="11"/>
      <c r="E39" s="11"/>
      <c r="F39" s="11"/>
      <c r="G39" s="11"/>
      <c r="H39" s="11"/>
      <c r="I39" s="63"/>
      <c r="J39" s="63"/>
      <c r="K39" s="15"/>
    </row>
    <row r="40" spans="3:11" x14ac:dyDescent="0.15">
      <c r="C40" s="14"/>
      <c r="D40" s="11"/>
      <c r="E40" s="11"/>
      <c r="F40" s="11"/>
      <c r="G40" s="11"/>
      <c r="H40" s="11"/>
      <c r="I40" s="63"/>
      <c r="J40" s="63"/>
      <c r="K40" s="15"/>
    </row>
    <row r="41" spans="3:11" x14ac:dyDescent="0.15">
      <c r="C41" s="14"/>
      <c r="D41" s="11"/>
      <c r="E41" s="11"/>
      <c r="F41" s="11"/>
      <c r="G41" s="11"/>
      <c r="H41" s="11"/>
      <c r="I41" s="63"/>
      <c r="J41" s="63"/>
      <c r="K41" s="15"/>
    </row>
    <row r="42" spans="3:11" x14ac:dyDescent="0.15">
      <c r="C42" s="14"/>
      <c r="D42" s="11"/>
      <c r="E42" s="11"/>
      <c r="F42" s="11"/>
      <c r="G42" s="11"/>
      <c r="H42" s="11"/>
      <c r="I42" s="63"/>
      <c r="J42" s="63"/>
      <c r="K42" s="15"/>
    </row>
    <row r="43" spans="3:11" x14ac:dyDescent="0.15">
      <c r="C43" s="14"/>
      <c r="D43" s="11"/>
      <c r="E43" s="11"/>
      <c r="F43" s="11"/>
      <c r="G43" s="11"/>
      <c r="H43" s="11"/>
      <c r="I43" s="63"/>
      <c r="J43" s="63"/>
      <c r="K43" s="15"/>
    </row>
    <row r="44" spans="3:11" x14ac:dyDescent="0.15">
      <c r="C44" s="14"/>
      <c r="D44" s="11"/>
      <c r="E44" s="11"/>
      <c r="F44" s="11"/>
      <c r="G44" s="11"/>
      <c r="H44" s="11"/>
      <c r="I44" s="63"/>
      <c r="J44" s="63"/>
      <c r="K44" s="15"/>
    </row>
    <row r="45" spans="3:11" x14ac:dyDescent="0.15">
      <c r="C45" s="14"/>
      <c r="D45" s="11"/>
      <c r="E45" s="11"/>
      <c r="F45" s="11"/>
      <c r="G45" s="11"/>
      <c r="H45" s="11"/>
      <c r="I45" s="63"/>
      <c r="J45" s="63"/>
      <c r="K45" s="15"/>
    </row>
    <row r="46" spans="3:11" x14ac:dyDescent="0.15">
      <c r="C46" s="14"/>
      <c r="D46" s="11"/>
      <c r="E46" s="11"/>
      <c r="F46" s="11"/>
      <c r="G46" s="11"/>
      <c r="H46" s="11"/>
      <c r="I46" s="63"/>
      <c r="J46" s="63"/>
      <c r="K46" s="15"/>
    </row>
    <row r="47" spans="3:11" x14ac:dyDescent="0.15">
      <c r="C47" s="14"/>
      <c r="D47" s="11"/>
      <c r="E47" s="11"/>
      <c r="F47" s="11"/>
      <c r="G47" s="11"/>
      <c r="H47" s="11"/>
      <c r="I47" s="63"/>
      <c r="J47" s="63"/>
      <c r="K47" s="15"/>
    </row>
    <row r="48" spans="3:11" ht="14" thickBot="1" x14ac:dyDescent="0.2">
      <c r="C48" s="16"/>
      <c r="D48" s="17"/>
      <c r="E48" s="11"/>
      <c r="F48" s="17"/>
      <c r="G48" s="17"/>
      <c r="H48" s="17"/>
      <c r="I48" s="81"/>
      <c r="J48" s="81"/>
      <c r="K48" s="18"/>
    </row>
    <row r="49" spans="3:12" ht="14" thickBot="1" x14ac:dyDescent="0.2">
      <c r="C49" s="77"/>
      <c r="D49" s="77"/>
      <c r="E49" s="77"/>
      <c r="F49" s="77"/>
      <c r="G49" s="77"/>
      <c r="H49" s="77"/>
      <c r="I49" s="77"/>
      <c r="J49" s="19" t="s">
        <v>2</v>
      </c>
      <c r="K49" s="20">
        <f>SUM(K19:K48)</f>
        <v>2130000</v>
      </c>
    </row>
    <row r="50" spans="3:12" ht="14" thickBot="1" x14ac:dyDescent="0.2">
      <c r="C50" s="3"/>
      <c r="D50" s="1"/>
      <c r="E50" s="1"/>
      <c r="F50" s="1"/>
      <c r="G50" s="1"/>
      <c r="H50" s="1"/>
      <c r="I50" s="1"/>
      <c r="J50" s="1"/>
      <c r="K50" s="1"/>
    </row>
    <row r="51" spans="3:12" ht="14" thickBot="1" x14ac:dyDescent="0.2">
      <c r="C51" s="4" t="s">
        <v>1</v>
      </c>
      <c r="D51" s="5"/>
      <c r="E51" s="5"/>
      <c r="F51" s="5"/>
      <c r="G51" s="5"/>
      <c r="H51" s="5"/>
      <c r="I51" s="6"/>
      <c r="J51" s="6"/>
      <c r="K51" s="7"/>
    </row>
    <row r="52" spans="3:12" x14ac:dyDescent="0.15">
      <c r="C52" s="68"/>
      <c r="D52" s="69"/>
      <c r="E52" s="69"/>
      <c r="F52" s="69"/>
      <c r="G52" s="69"/>
      <c r="H52" s="69"/>
      <c r="I52" s="69"/>
      <c r="J52" s="69"/>
      <c r="K52" s="70"/>
    </row>
    <row r="53" spans="3:12" x14ac:dyDescent="0.15">
      <c r="C53" s="71"/>
      <c r="D53" s="72"/>
      <c r="E53" s="72"/>
      <c r="F53" s="72"/>
      <c r="G53" s="72"/>
      <c r="H53" s="72"/>
      <c r="I53" s="72"/>
      <c r="J53" s="72"/>
      <c r="K53" s="73"/>
    </row>
    <row r="54" spans="3:12" x14ac:dyDescent="0.15">
      <c r="C54" s="71"/>
      <c r="D54" s="72"/>
      <c r="E54" s="72"/>
      <c r="F54" s="72"/>
      <c r="G54" s="72"/>
      <c r="H54" s="72"/>
      <c r="I54" s="72"/>
      <c r="J54" s="72"/>
      <c r="K54" s="73"/>
    </row>
    <row r="55" spans="3:12" ht="14" thickBot="1" x14ac:dyDescent="0.2">
      <c r="C55" s="74"/>
      <c r="D55" s="75"/>
      <c r="E55" s="75"/>
      <c r="F55" s="75"/>
      <c r="G55" s="75"/>
      <c r="H55" s="75"/>
      <c r="I55" s="75"/>
      <c r="J55" s="75"/>
      <c r="K55" s="76"/>
    </row>
    <row r="56" spans="3:12" x14ac:dyDescent="0.15">
      <c r="C56" s="3"/>
      <c r="D56" s="1"/>
      <c r="E56" s="1"/>
      <c r="F56" s="1"/>
      <c r="G56" s="1"/>
      <c r="H56" s="1"/>
      <c r="I56" s="1"/>
      <c r="J56" s="1"/>
      <c r="K56" s="1"/>
    </row>
    <row r="57" spans="3:12" ht="14" thickBot="1" x14ac:dyDescent="0.2">
      <c r="C57" s="3"/>
      <c r="D57" s="1"/>
      <c r="E57" s="1"/>
      <c r="F57" s="1"/>
      <c r="G57" s="1"/>
      <c r="H57" s="1"/>
      <c r="I57" s="1"/>
      <c r="J57" s="1"/>
      <c r="K57" s="1"/>
      <c r="L57" s="3"/>
    </row>
    <row r="58" spans="3:12" ht="14" thickBot="1" x14ac:dyDescent="0.2">
      <c r="C58" s="8" t="s">
        <v>7</v>
      </c>
      <c r="D58" s="9"/>
      <c r="E58" s="9"/>
      <c r="F58" s="9"/>
      <c r="G58" s="9"/>
      <c r="H58" s="9"/>
      <c r="I58" s="24" t="s">
        <v>3</v>
      </c>
      <c r="J58" s="25"/>
      <c r="K58" s="26"/>
    </row>
    <row r="59" spans="3:12" x14ac:dyDescent="0.15">
      <c r="C59" s="80" t="s">
        <v>8</v>
      </c>
      <c r="D59" s="80"/>
      <c r="E59" s="80"/>
      <c r="F59" s="80"/>
      <c r="G59" s="80"/>
      <c r="H59" s="80"/>
      <c r="I59" s="27"/>
      <c r="J59" s="28"/>
      <c r="K59" s="29"/>
    </row>
    <row r="60" spans="3:12" ht="22.5" customHeight="1" thickBot="1" x14ac:dyDescent="0.2">
      <c r="C60" s="66" t="s">
        <v>11</v>
      </c>
      <c r="D60" s="66"/>
      <c r="E60" s="66"/>
      <c r="F60" s="66"/>
      <c r="G60" s="66"/>
      <c r="H60" s="66"/>
      <c r="I60" s="27" t="s">
        <v>4</v>
      </c>
      <c r="J60" s="30"/>
      <c r="K60" s="31"/>
    </row>
    <row r="61" spans="3:12" x14ac:dyDescent="0.15">
      <c r="C61" s="80" t="s">
        <v>9</v>
      </c>
      <c r="D61" s="80"/>
      <c r="E61" s="80"/>
      <c r="F61" s="80"/>
      <c r="G61" s="80"/>
      <c r="H61" s="80"/>
      <c r="I61" s="27"/>
      <c r="J61" s="28"/>
      <c r="K61" s="29"/>
    </row>
    <row r="62" spans="3:12" ht="22.5" customHeight="1" thickBot="1" x14ac:dyDescent="0.2">
      <c r="C62" s="66" t="s">
        <v>10</v>
      </c>
      <c r="D62" s="66"/>
      <c r="E62" s="66"/>
      <c r="F62" s="66"/>
      <c r="G62" s="66"/>
      <c r="H62" s="66"/>
      <c r="I62" s="27" t="s">
        <v>5</v>
      </c>
      <c r="J62" s="30"/>
      <c r="K62" s="31"/>
    </row>
    <row r="63" spans="3:12" x14ac:dyDescent="0.15">
      <c r="I63" s="27"/>
      <c r="J63" s="28"/>
      <c r="K63" s="29"/>
    </row>
    <row r="64" spans="3:12" ht="14" thickBot="1" x14ac:dyDescent="0.2">
      <c r="I64" s="27" t="s">
        <v>6</v>
      </c>
      <c r="J64" s="30"/>
      <c r="K64" s="31"/>
    </row>
    <row r="65" spans="9:11" ht="14" thickBot="1" x14ac:dyDescent="0.2">
      <c r="I65" s="32"/>
      <c r="J65" s="33"/>
      <c r="K65" s="31"/>
    </row>
  </sheetData>
  <mergeCells count="52">
    <mergeCell ref="C60:H60"/>
    <mergeCell ref="C59:H59"/>
    <mergeCell ref="C61:H61"/>
    <mergeCell ref="I47:J47"/>
    <mergeCell ref="I48:J48"/>
    <mergeCell ref="C62:H62"/>
    <mergeCell ref="E17:E18"/>
    <mergeCell ref="G17:G18"/>
    <mergeCell ref="C52:K55"/>
    <mergeCell ref="I28:J28"/>
    <mergeCell ref="I42:J42"/>
    <mergeCell ref="I43:J43"/>
    <mergeCell ref="I41:J41"/>
    <mergeCell ref="I45:J45"/>
    <mergeCell ref="I39:J39"/>
    <mergeCell ref="I44:J44"/>
    <mergeCell ref="C49:I49"/>
    <mergeCell ref="I19:J19"/>
    <mergeCell ref="I38:J38"/>
    <mergeCell ref="I29:J29"/>
    <mergeCell ref="I30:J30"/>
    <mergeCell ref="I20:J20"/>
    <mergeCell ref="I21:J21"/>
    <mergeCell ref="I22:J22"/>
    <mergeCell ref="I23:J23"/>
    <mergeCell ref="I24:J24"/>
    <mergeCell ref="I46:J46"/>
    <mergeCell ref="I25:J25"/>
    <mergeCell ref="I26:J26"/>
    <mergeCell ref="I27:J27"/>
    <mergeCell ref="I32:J32"/>
    <mergeCell ref="I33:J33"/>
    <mergeCell ref="I34:J34"/>
    <mergeCell ref="I35:J35"/>
    <mergeCell ref="I36:J36"/>
    <mergeCell ref="I37:J37"/>
    <mergeCell ref="I40:J40"/>
    <mergeCell ref="I31:J31"/>
    <mergeCell ref="J2:K2"/>
    <mergeCell ref="J3:K3"/>
    <mergeCell ref="C1:I3"/>
    <mergeCell ref="F17:F18"/>
    <mergeCell ref="H17:H18"/>
    <mergeCell ref="J5:K5"/>
    <mergeCell ref="J6:K6"/>
    <mergeCell ref="J7:K7"/>
    <mergeCell ref="D7:E7"/>
    <mergeCell ref="D5:E5"/>
    <mergeCell ref="K17:K18"/>
    <mergeCell ref="D17:D18"/>
    <mergeCell ref="I17:J18"/>
    <mergeCell ref="C17:C18"/>
  </mergeCells>
  <phoneticPr fontId="12" type="noConversion"/>
  <pageMargins left="0.25" right="0.25" top="0.3" bottom="0.3" header="0.1" footer="0.1"/>
  <pageSetup paperSize="1" orientation="landscape" fitToWidth="1" fitToHeight="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24C5B74-9815-49E0-856E-50F7547E317B}">
          <x14:formula1>
            <xm:f>Lista!$E$1:$E$34</xm:f>
          </x14:formula1>
          <xm:sqref>G19:G32</xm:sqref>
        </x14:dataValidation>
        <x14:dataValidation type="list" allowBlank="1" showInputMessage="1" showErrorMessage="1" xr:uid="{E7491381-1BC9-4F7A-9E59-1A084B51B777}">
          <x14:formula1>
            <xm:f>Lista!$H$1:$H$2</xm:f>
          </x14:formula1>
          <xm:sqref>J6</xm:sqref>
        </x14:dataValidation>
        <x14:dataValidation type="list" allowBlank="1" showInputMessage="1" showErrorMessage="1" xr:uid="{40B0C371-83DB-4151-A6B2-F04DD9B86C6A}">
          <x14:formula1>
            <xm:f>Lista!$J$1:$J$8</xm:f>
          </x14:formula1>
          <xm:sqref>J7:K7</xm:sqref>
        </x14:dataValidation>
        <x14:dataValidation type="list" allowBlank="1" showInputMessage="1" showErrorMessage="1" xr:uid="{EA800771-117D-4642-9ED5-B0FC765F98AB}">
          <x14:formula1>
            <xm:f>Lista!$C$9:$C$50</xm:f>
          </x14:formula1>
          <xm:sqref>D10</xm:sqref>
        </x14:dataValidation>
        <x14:dataValidation type="list" allowBlank="1" showInputMessage="1" showErrorMessage="1" xr:uid="{BE6C2230-D04A-4EEF-B7E1-9A265676320D}">
          <x14:formula1>
            <xm:f>Lista!$D$9:$D$50</xm:f>
          </x14:formula1>
          <xm:sqref>J5:K5</xm:sqref>
        </x14:dataValidation>
        <x14:dataValidation type="list" allowBlank="1" showInputMessage="1" showErrorMessage="1" xr:uid="{3324E3C7-965F-400B-97C3-8117E13D0887}">
          <x14:formula1>
            <xm:f>Lista!$C$2:$C$6</xm:f>
          </x14:formula1>
          <xm:sqref>I19:J33</xm:sqref>
        </x14:dataValidation>
        <x14:dataValidation type="list" allowBlank="1" showInputMessage="1" showErrorMessage="1" xr:uid="{B1417173-C392-4E69-BB97-0CD46FC19B31}">
          <x14:formula1>
            <xm:f>Lista!$A$2:$A$4</xm:f>
          </x14:formula1>
          <xm:sqref>G33:G39 F34:F39 F40:G48</xm:sqref>
        </x14:dataValidation>
        <x14:dataValidation type="list" allowBlank="1" showInputMessage="1" showErrorMessage="1" xr:uid="{F2CBC1B0-513A-4A76-9723-F31D470E1925}">
          <x14:formula1>
            <xm:f>Lista!$C$2:$C$5</xm:f>
          </x14:formula1>
          <xm:sqref>I34:J48</xm:sqref>
        </x14:dataValidation>
        <x14:dataValidation type="list" allowBlank="1" showInputMessage="1" showErrorMessage="1" xr:uid="{4A86C3D0-99AD-4FFE-9134-727ACB169B99}">
          <x14:formula1>
            <xm:f>Lista!$A$2:$A$5</xm:f>
          </x14:formula1>
          <xm:sqref>E19:E48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2592-04DB-4F00-B4CF-AB4C353FED4D}">
  <dimension ref="A1:J51"/>
  <sheetViews>
    <sheetView topLeftCell="A15" workbookViewId="0">
      <selection activeCell="A51" sqref="A51:D51"/>
    </sheetView>
  </sheetViews>
  <sheetFormatPr baseColWidth="10" defaultRowHeight="13" x14ac:dyDescent="0.15"/>
  <cols>
    <col min="3" max="3" width="23.83203125" customWidth="1"/>
    <col min="4" max="4" width="30.5" customWidth="1"/>
  </cols>
  <sheetData>
    <row r="1" spans="1:10" x14ac:dyDescent="0.15">
      <c r="A1" t="s">
        <v>19</v>
      </c>
      <c r="C1" t="s">
        <v>23</v>
      </c>
      <c r="E1" t="s">
        <v>30</v>
      </c>
      <c r="H1" s="41" t="s">
        <v>121</v>
      </c>
      <c r="J1" s="41" t="s">
        <v>123</v>
      </c>
    </row>
    <row r="2" spans="1:10" x14ac:dyDescent="0.15">
      <c r="A2" t="s">
        <v>20</v>
      </c>
      <c r="C2" t="s">
        <v>24</v>
      </c>
      <c r="E2" t="s">
        <v>28</v>
      </c>
      <c r="H2" s="41" t="s">
        <v>122</v>
      </c>
      <c r="J2" s="41" t="s">
        <v>124</v>
      </c>
    </row>
    <row r="3" spans="1:10" x14ac:dyDescent="0.15">
      <c r="A3" t="s">
        <v>21</v>
      </c>
      <c r="C3" t="s">
        <v>25</v>
      </c>
      <c r="E3" t="s">
        <v>29</v>
      </c>
      <c r="J3" s="41" t="s">
        <v>125</v>
      </c>
    </row>
    <row r="4" spans="1:10" x14ac:dyDescent="0.15">
      <c r="A4" t="s">
        <v>22</v>
      </c>
      <c r="C4" t="s">
        <v>26</v>
      </c>
      <c r="E4" s="41" t="s">
        <v>172</v>
      </c>
      <c r="J4" s="41" t="s">
        <v>126</v>
      </c>
    </row>
    <row r="5" spans="1:10" x14ac:dyDescent="0.15">
      <c r="A5" s="41" t="s">
        <v>171</v>
      </c>
      <c r="C5" t="s">
        <v>27</v>
      </c>
      <c r="J5" s="41" t="s">
        <v>127</v>
      </c>
    </row>
    <row r="6" spans="1:10" x14ac:dyDescent="0.15">
      <c r="C6" s="41" t="s">
        <v>171</v>
      </c>
      <c r="J6" s="41" t="s">
        <v>128</v>
      </c>
    </row>
    <row r="7" spans="1:10" ht="15" customHeight="1" x14ac:dyDescent="0.15">
      <c r="J7" s="41" t="s">
        <v>129</v>
      </c>
    </row>
    <row r="8" spans="1:10" ht="15" customHeight="1" thickBot="1" x14ac:dyDescent="0.2">
      <c r="J8" s="41" t="s">
        <v>146</v>
      </c>
    </row>
    <row r="9" spans="1:10" ht="15" customHeight="1" thickBot="1" x14ac:dyDescent="0.2">
      <c r="A9" s="34" t="s">
        <v>130</v>
      </c>
      <c r="B9" s="34" t="s">
        <v>131</v>
      </c>
      <c r="C9" s="34" t="s">
        <v>132</v>
      </c>
      <c r="D9" s="34" t="s">
        <v>58</v>
      </c>
    </row>
    <row r="10" spans="1:10" ht="15" customHeight="1" thickBot="1" x14ac:dyDescent="0.2">
      <c r="A10" s="34" t="s">
        <v>130</v>
      </c>
      <c r="B10" s="34" t="s">
        <v>133</v>
      </c>
      <c r="C10" s="34" t="s">
        <v>134</v>
      </c>
      <c r="D10" s="34" t="s">
        <v>60</v>
      </c>
    </row>
    <row r="11" spans="1:10" ht="15" customHeight="1" thickBot="1" x14ac:dyDescent="0.2">
      <c r="A11" s="34" t="s">
        <v>130</v>
      </c>
      <c r="B11" s="34" t="s">
        <v>135</v>
      </c>
      <c r="C11" s="34" t="s">
        <v>136</v>
      </c>
      <c r="D11" s="34" t="s">
        <v>164</v>
      </c>
    </row>
    <row r="12" spans="1:10" ht="15" customHeight="1" thickBot="1" x14ac:dyDescent="0.2">
      <c r="A12" s="34" t="s">
        <v>130</v>
      </c>
      <c r="B12" s="34" t="s">
        <v>137</v>
      </c>
      <c r="C12" s="34" t="s">
        <v>138</v>
      </c>
      <c r="D12" s="34" t="s">
        <v>63</v>
      </c>
    </row>
    <row r="13" spans="1:10" ht="15" customHeight="1" thickBot="1" x14ac:dyDescent="0.2">
      <c r="A13" s="34" t="s">
        <v>130</v>
      </c>
      <c r="B13" s="34" t="s">
        <v>139</v>
      </c>
      <c r="C13" s="34" t="s">
        <v>140</v>
      </c>
      <c r="D13" s="34" t="s">
        <v>66</v>
      </c>
    </row>
    <row r="14" spans="1:10" ht="15" customHeight="1" thickBot="1" x14ac:dyDescent="0.2">
      <c r="A14" s="34" t="s">
        <v>130</v>
      </c>
      <c r="B14" s="34" t="s">
        <v>141</v>
      </c>
      <c r="C14" s="34" t="s">
        <v>142</v>
      </c>
      <c r="D14" s="34" t="s">
        <v>143</v>
      </c>
    </row>
    <row r="15" spans="1:10" ht="15" customHeight="1" thickBot="1" x14ac:dyDescent="0.2">
      <c r="A15" s="34" t="s">
        <v>130</v>
      </c>
      <c r="B15" s="34" t="s">
        <v>148</v>
      </c>
      <c r="C15" s="34" t="s">
        <v>149</v>
      </c>
      <c r="D15" s="34" t="s">
        <v>159</v>
      </c>
    </row>
    <row r="16" spans="1:10" ht="15" customHeight="1" thickBot="1" x14ac:dyDescent="0.2">
      <c r="A16" s="34" t="s">
        <v>44</v>
      </c>
      <c r="B16" s="34" t="s">
        <v>45</v>
      </c>
      <c r="C16" s="34" t="s">
        <v>46</v>
      </c>
      <c r="D16" s="34" t="s">
        <v>47</v>
      </c>
    </row>
    <row r="17" spans="1:4" ht="15" customHeight="1" thickBot="1" x14ac:dyDescent="0.2">
      <c r="A17" s="34" t="s">
        <v>44</v>
      </c>
      <c r="B17" s="34" t="s">
        <v>48</v>
      </c>
      <c r="C17" s="34" t="s">
        <v>150</v>
      </c>
      <c r="D17" s="34" t="s">
        <v>159</v>
      </c>
    </row>
    <row r="18" spans="1:4" ht="15" customHeight="1" thickBot="1" x14ac:dyDescent="0.2">
      <c r="A18" s="34" t="s">
        <v>44</v>
      </c>
      <c r="B18" s="34" t="s">
        <v>49</v>
      </c>
      <c r="C18" s="34" t="s">
        <v>108</v>
      </c>
      <c r="D18" s="34" t="s">
        <v>50</v>
      </c>
    </row>
    <row r="19" spans="1:4" ht="15" customHeight="1" thickBot="1" x14ac:dyDescent="0.2">
      <c r="A19" s="34" t="s">
        <v>44</v>
      </c>
      <c r="B19" s="34" t="s">
        <v>51</v>
      </c>
      <c r="C19" s="34" t="s">
        <v>102</v>
      </c>
      <c r="D19" s="34" t="s">
        <v>52</v>
      </c>
    </row>
    <row r="20" spans="1:4" ht="15" customHeight="1" thickBot="1" x14ac:dyDescent="0.2">
      <c r="A20" s="34" t="s">
        <v>44</v>
      </c>
      <c r="B20" s="34" t="s">
        <v>53</v>
      </c>
      <c r="C20" s="34" t="s">
        <v>110</v>
      </c>
      <c r="D20" s="34" t="s">
        <v>54</v>
      </c>
    </row>
    <row r="21" spans="1:4" ht="15" customHeight="1" thickBot="1" x14ac:dyDescent="0.2">
      <c r="A21" s="34" t="s">
        <v>44</v>
      </c>
      <c r="B21" s="34" t="s">
        <v>55</v>
      </c>
      <c r="C21" s="34" t="s">
        <v>117</v>
      </c>
      <c r="D21" s="34" t="s">
        <v>56</v>
      </c>
    </row>
    <row r="22" spans="1:4" ht="15" customHeight="1" thickBot="1" x14ac:dyDescent="0.2">
      <c r="A22" s="34" t="s">
        <v>44</v>
      </c>
      <c r="B22" s="34" t="s">
        <v>57</v>
      </c>
      <c r="C22" s="34" t="s">
        <v>104</v>
      </c>
      <c r="D22" s="34" t="s">
        <v>58</v>
      </c>
    </row>
    <row r="23" spans="1:4" ht="15" customHeight="1" thickBot="1" x14ac:dyDescent="0.2">
      <c r="A23" s="34" t="s">
        <v>44</v>
      </c>
      <c r="B23" s="34" t="s">
        <v>59</v>
      </c>
      <c r="C23" s="34" t="s">
        <v>119</v>
      </c>
      <c r="D23" s="34" t="s">
        <v>60</v>
      </c>
    </row>
    <row r="24" spans="1:4" ht="15" customHeight="1" thickBot="1" x14ac:dyDescent="0.2">
      <c r="A24" s="34" t="s">
        <v>44</v>
      </c>
      <c r="B24" s="34" t="s">
        <v>61</v>
      </c>
      <c r="C24" s="34" t="s">
        <v>147</v>
      </c>
      <c r="D24" s="34" t="s">
        <v>164</v>
      </c>
    </row>
    <row r="25" spans="1:4" ht="15" customHeight="1" thickBot="1" x14ac:dyDescent="0.2">
      <c r="A25" s="34" t="s">
        <v>44</v>
      </c>
      <c r="B25" s="34" t="s">
        <v>62</v>
      </c>
      <c r="C25" s="34" t="s">
        <v>105</v>
      </c>
      <c r="D25" s="34" t="s">
        <v>63</v>
      </c>
    </row>
    <row r="26" spans="1:4" ht="15" customHeight="1" thickBot="1" x14ac:dyDescent="0.2">
      <c r="A26" s="34" t="s">
        <v>44</v>
      </c>
      <c r="B26" s="34" t="s">
        <v>64</v>
      </c>
      <c r="C26" s="34" t="s">
        <v>65</v>
      </c>
      <c r="D26" s="34" t="s">
        <v>66</v>
      </c>
    </row>
    <row r="27" spans="1:4" ht="15" customHeight="1" thickBot="1" x14ac:dyDescent="0.2">
      <c r="A27" s="34" t="s">
        <v>44</v>
      </c>
      <c r="B27" s="34" t="s">
        <v>67</v>
      </c>
      <c r="C27" s="34" t="s">
        <v>103</v>
      </c>
      <c r="D27" s="34" t="s">
        <v>143</v>
      </c>
    </row>
    <row r="28" spans="1:4" ht="15" customHeight="1" thickBot="1" x14ac:dyDescent="0.2">
      <c r="A28" s="34" t="s">
        <v>44</v>
      </c>
      <c r="B28" s="34" t="s">
        <v>68</v>
      </c>
      <c r="C28" s="34" t="s">
        <v>109</v>
      </c>
      <c r="D28" s="34" t="s">
        <v>69</v>
      </c>
    </row>
    <row r="29" spans="1:4" ht="15" customHeight="1" thickBot="1" x14ac:dyDescent="0.2">
      <c r="A29" s="34" t="s">
        <v>44</v>
      </c>
      <c r="B29" s="34" t="s">
        <v>70</v>
      </c>
      <c r="C29" s="34" t="s">
        <v>144</v>
      </c>
      <c r="D29" s="34" t="s">
        <v>71</v>
      </c>
    </row>
    <row r="30" spans="1:4" ht="15" customHeight="1" thickBot="1" x14ac:dyDescent="0.2">
      <c r="A30" s="34" t="s">
        <v>44</v>
      </c>
      <c r="B30" s="34" t="s">
        <v>72</v>
      </c>
      <c r="C30" s="34" t="s">
        <v>100</v>
      </c>
      <c r="D30" s="34" t="s">
        <v>165</v>
      </c>
    </row>
    <row r="31" spans="1:4" ht="15" customHeight="1" thickBot="1" x14ac:dyDescent="0.2">
      <c r="A31" s="34" t="s">
        <v>44</v>
      </c>
      <c r="B31" s="34" t="s">
        <v>73</v>
      </c>
      <c r="C31" s="34" t="s">
        <v>116</v>
      </c>
      <c r="D31" s="34" t="s">
        <v>74</v>
      </c>
    </row>
    <row r="32" spans="1:4" ht="15" customHeight="1" thickBot="1" x14ac:dyDescent="0.2">
      <c r="A32" s="34" t="s">
        <v>44</v>
      </c>
      <c r="B32" s="34" t="s">
        <v>75</v>
      </c>
      <c r="C32" s="34" t="s">
        <v>111</v>
      </c>
      <c r="D32" s="34" t="s">
        <v>76</v>
      </c>
    </row>
    <row r="33" spans="1:4" ht="15" customHeight="1" thickBot="1" x14ac:dyDescent="0.2">
      <c r="A33" s="34" t="s">
        <v>44</v>
      </c>
      <c r="B33" s="34" t="s">
        <v>77</v>
      </c>
      <c r="C33" s="34" t="s">
        <v>114</v>
      </c>
      <c r="D33" s="34" t="s">
        <v>166</v>
      </c>
    </row>
    <row r="34" spans="1:4" ht="15" customHeight="1" thickBot="1" x14ac:dyDescent="0.2">
      <c r="A34" s="34" t="s">
        <v>44</v>
      </c>
      <c r="B34" s="34" t="s">
        <v>78</v>
      </c>
      <c r="C34" s="34" t="s">
        <v>98</v>
      </c>
      <c r="D34" s="34" t="s">
        <v>79</v>
      </c>
    </row>
    <row r="35" spans="1:4" ht="15" customHeight="1" thickBot="1" x14ac:dyDescent="0.2">
      <c r="A35" s="34" t="s">
        <v>44</v>
      </c>
      <c r="B35" s="34" t="s">
        <v>80</v>
      </c>
      <c r="C35" s="34" t="s">
        <v>113</v>
      </c>
      <c r="D35" s="34" t="s">
        <v>81</v>
      </c>
    </row>
    <row r="36" spans="1:4" ht="14" thickBot="1" x14ac:dyDescent="0.2">
      <c r="A36" s="34" t="s">
        <v>44</v>
      </c>
      <c r="B36" s="34" t="s">
        <v>82</v>
      </c>
      <c r="C36" s="34" t="s">
        <v>115</v>
      </c>
      <c r="D36" s="34" t="s">
        <v>83</v>
      </c>
    </row>
    <row r="37" spans="1:4" ht="14" thickBot="1" x14ac:dyDescent="0.2">
      <c r="A37" s="34" t="s">
        <v>44</v>
      </c>
      <c r="B37" s="34" t="s">
        <v>84</v>
      </c>
      <c r="C37" s="34" t="s">
        <v>112</v>
      </c>
      <c r="D37" s="34" t="s">
        <v>85</v>
      </c>
    </row>
    <row r="38" spans="1:4" ht="14" thickBot="1" x14ac:dyDescent="0.2">
      <c r="A38" s="34" t="s">
        <v>44</v>
      </c>
      <c r="B38" s="34" t="s">
        <v>86</v>
      </c>
      <c r="C38" s="34" t="s">
        <v>120</v>
      </c>
      <c r="D38" s="34" t="s">
        <v>87</v>
      </c>
    </row>
    <row r="39" spans="1:4" ht="14" thickBot="1" x14ac:dyDescent="0.2">
      <c r="A39" s="34" t="s">
        <v>44</v>
      </c>
      <c r="B39" s="34" t="s">
        <v>88</v>
      </c>
      <c r="C39" s="34" t="s">
        <v>97</v>
      </c>
      <c r="D39" s="34" t="s">
        <v>89</v>
      </c>
    </row>
    <row r="40" spans="1:4" ht="14" thickBot="1" x14ac:dyDescent="0.2">
      <c r="A40" s="82" t="s">
        <v>44</v>
      </c>
      <c r="B40" s="34" t="s">
        <v>188</v>
      </c>
      <c r="C40" s="82" t="s">
        <v>186</v>
      </c>
      <c r="D40" s="82" t="s">
        <v>187</v>
      </c>
    </row>
    <row r="41" spans="1:4" ht="14" thickBot="1" x14ac:dyDescent="0.2">
      <c r="A41" s="34" t="s">
        <v>44</v>
      </c>
      <c r="B41" s="34" t="s">
        <v>90</v>
      </c>
      <c r="C41" s="34" t="s">
        <v>101</v>
      </c>
      <c r="D41" s="34" t="s">
        <v>91</v>
      </c>
    </row>
    <row r="42" spans="1:4" ht="14" thickBot="1" x14ac:dyDescent="0.2">
      <c r="A42" s="34" t="s">
        <v>44</v>
      </c>
      <c r="B42" s="34" t="s">
        <v>92</v>
      </c>
      <c r="C42" s="34" t="s">
        <v>107</v>
      </c>
      <c r="D42" s="34" t="s">
        <v>93</v>
      </c>
    </row>
    <row r="43" spans="1:4" ht="14" thickBot="1" x14ac:dyDescent="0.2">
      <c r="A43" s="34" t="s">
        <v>44</v>
      </c>
      <c r="B43" s="34" t="s">
        <v>94</v>
      </c>
      <c r="C43" s="34" t="s">
        <v>99</v>
      </c>
      <c r="D43" s="34" t="s">
        <v>167</v>
      </c>
    </row>
    <row r="44" spans="1:4" ht="14" thickBot="1" x14ac:dyDescent="0.2">
      <c r="A44" s="34" t="s">
        <v>44</v>
      </c>
      <c r="B44" s="34" t="s">
        <v>95</v>
      </c>
      <c r="C44" s="34" t="s">
        <v>118</v>
      </c>
      <c r="D44" s="34" t="s">
        <v>168</v>
      </c>
    </row>
    <row r="45" spans="1:4" ht="14" thickBot="1" x14ac:dyDescent="0.2">
      <c r="A45" s="34" t="s">
        <v>44</v>
      </c>
      <c r="B45" s="34" t="s">
        <v>96</v>
      </c>
      <c r="C45" s="34" t="s">
        <v>106</v>
      </c>
      <c r="D45" s="34" t="s">
        <v>145</v>
      </c>
    </row>
    <row r="46" spans="1:4" ht="14" thickBot="1" x14ac:dyDescent="0.2">
      <c r="A46" s="34" t="s">
        <v>44</v>
      </c>
      <c r="B46" s="34" t="s">
        <v>151</v>
      </c>
      <c r="C46" s="34" t="s">
        <v>152</v>
      </c>
      <c r="D46" s="34" t="s">
        <v>169</v>
      </c>
    </row>
    <row r="47" spans="1:4" ht="14" thickBot="1" x14ac:dyDescent="0.2">
      <c r="A47" s="34" t="s">
        <v>44</v>
      </c>
      <c r="B47" s="34" t="s">
        <v>153</v>
      </c>
      <c r="C47" s="34" t="s">
        <v>160</v>
      </c>
      <c r="D47" s="34" t="s">
        <v>161</v>
      </c>
    </row>
    <row r="48" spans="1:4" ht="14" thickBot="1" x14ac:dyDescent="0.2">
      <c r="A48" s="34" t="s">
        <v>44</v>
      </c>
      <c r="B48" s="34" t="s">
        <v>154</v>
      </c>
      <c r="C48" s="34" t="s">
        <v>155</v>
      </c>
      <c r="D48" s="34" t="s">
        <v>156</v>
      </c>
    </row>
    <row r="49" spans="1:4" ht="14" thickBot="1" x14ac:dyDescent="0.2">
      <c r="A49" s="34" t="s">
        <v>44</v>
      </c>
      <c r="B49" s="34" t="s">
        <v>157</v>
      </c>
      <c r="C49" s="34" t="s">
        <v>162</v>
      </c>
      <c r="D49" s="34" t="s">
        <v>163</v>
      </c>
    </row>
    <row r="50" spans="1:4" ht="14" thickBot="1" x14ac:dyDescent="0.2">
      <c r="A50" s="34" t="s">
        <v>44</v>
      </c>
      <c r="B50" s="34" t="s">
        <v>158</v>
      </c>
      <c r="C50" s="34" t="s">
        <v>170</v>
      </c>
      <c r="D50" s="34" t="s">
        <v>56</v>
      </c>
    </row>
    <row r="51" spans="1:4" ht="14" thickBot="1" x14ac:dyDescent="0.2">
      <c r="A51" s="82"/>
      <c r="B51" s="34"/>
      <c r="C51" s="82"/>
      <c r="D51" s="82"/>
    </row>
  </sheetData>
  <phoneticPr fontId="1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Viaticos (V2)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aserpa</dc:creator>
  <cp:lastModifiedBy>Officer54</cp:lastModifiedBy>
  <cp:lastPrinted>2026-06-23T18:13:46Z</cp:lastPrinted>
  <dcterms:created xsi:type="dcterms:W3CDTF">2007-05-24T15:21:12Z</dcterms:created>
  <dcterms:modified xsi:type="dcterms:W3CDTF">2026-06-30T14:37:51Z</dcterms:modified>
</cp:coreProperties>
</file>